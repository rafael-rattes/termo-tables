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e\Arquivos\Extra\Excel for chemical engineering\"/>
    </mc:Choice>
  </mc:AlternateContent>
  <xr:revisionPtr revIDLastSave="0" documentId="13_ncr:1_{6C5F159C-E7B3-47AD-93C9-61CAE6286E7A}" xr6:coauthVersionLast="47" xr6:coauthVersionMax="47" xr10:uidLastSave="{00000000-0000-0000-0000-000000000000}"/>
  <bookViews>
    <workbookView xWindow="-110" yWindow="-110" windowWidth="19420" windowHeight="10560" activeTab="2" xr2:uid="{1D8D13CE-71BA-4339-9800-7005EC2563A3}"/>
  </bookViews>
  <sheets>
    <sheet name="Pressão de vapor" sheetId="1" r:id="rId1"/>
    <sheet name="Entalpia" sheetId="2" r:id="rId2"/>
    <sheet name="Temp. steam table" sheetId="4" r:id="rId3"/>
    <sheet name="Pres. steam table" sheetId="3" r:id="rId4"/>
    <sheet name="Superheated steam" sheetId="5" r:id="rId5"/>
    <sheet name="Subcooled water" sheetId="6" r:id="rId6"/>
  </sheets>
  <definedNames>
    <definedName name="_xlnm._FilterDatabase" localSheetId="0" hidden="1">'Pressão de vapor'!$M$33:$T$34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4" l="1"/>
  <c r="N36" i="4"/>
  <c r="N34" i="4"/>
  <c r="N26" i="3"/>
  <c r="N30" i="3"/>
  <c r="X7" i="3"/>
  <c r="X6" i="3"/>
  <c r="X7" i="4"/>
  <c r="X9" i="4" s="1"/>
  <c r="X6" i="4"/>
  <c r="O6" i="3"/>
  <c r="N29" i="3" s="1"/>
  <c r="N28" i="3"/>
  <c r="O7" i="3"/>
  <c r="N27" i="3" s="1"/>
  <c r="R6" i="4"/>
  <c r="U7" i="4"/>
  <c r="R7" i="4"/>
  <c r="U6" i="4"/>
  <c r="N35" i="4" s="1"/>
  <c r="U7" i="3"/>
  <c r="U6" i="3"/>
  <c r="R7" i="3"/>
  <c r="R6" i="3"/>
  <c r="O7" i="4"/>
  <c r="O6" i="4"/>
  <c r="N36" i="1"/>
  <c r="Q7" i="2"/>
  <c r="S7" i="2"/>
  <c r="R7" i="2"/>
  <c r="P7" i="2"/>
  <c r="P10" i="2"/>
  <c r="O10" i="2"/>
  <c r="O7" i="2"/>
  <c r="P34" i="1"/>
  <c r="U9" i="4" l="1"/>
  <c r="N39" i="4" s="1"/>
  <c r="N37" i="4"/>
  <c r="X9" i="3"/>
  <c r="R9" i="4"/>
  <c r="R9" i="3"/>
  <c r="O9" i="4"/>
  <c r="O9" i="3"/>
  <c r="N31" i="3" s="1"/>
  <c r="U9" i="3"/>
  <c r="M10" i="2"/>
  <c r="M12" i="2" s="1"/>
  <c r="T34" i="1"/>
  <c r="S34" i="1"/>
  <c r="R34" i="1"/>
  <c r="Q34" i="1"/>
</calcChain>
</file>

<file path=xl/sharedStrings.xml><?xml version="1.0" encoding="utf-8"?>
<sst xmlns="http://schemas.openxmlformats.org/spreadsheetml/2006/main" count="862" uniqueCount="352">
  <si>
    <t>Fórmula</t>
  </si>
  <si>
    <t>Nome</t>
  </si>
  <si>
    <t>MW (g/mol)</t>
  </si>
  <si>
    <t>Tc (K)</t>
  </si>
  <si>
    <t>Pc (bar)</t>
  </si>
  <si>
    <t>ω</t>
  </si>
  <si>
    <t>A</t>
  </si>
  <si>
    <t>B</t>
  </si>
  <si>
    <t>C</t>
  </si>
  <si>
    <t>Tmáx</t>
  </si>
  <si>
    <t>Tmín</t>
  </si>
  <si>
    <t>CH2O</t>
  </si>
  <si>
    <t>Formaldehyde</t>
  </si>
  <si>
    <t>CH4</t>
  </si>
  <si>
    <t>Methane</t>
  </si>
  <si>
    <t>CH4O</t>
  </si>
  <si>
    <t>Methanol</t>
  </si>
  <si>
    <t>C2H4</t>
  </si>
  <si>
    <t>Acetylene</t>
  </si>
  <si>
    <t>C2H3N</t>
  </si>
  <si>
    <t>Acetonitrile</t>
  </si>
  <si>
    <t>Ethylene</t>
  </si>
  <si>
    <t>C2H4O</t>
  </si>
  <si>
    <t>Acetaldehyde</t>
  </si>
  <si>
    <t>C2H4O2</t>
  </si>
  <si>
    <t>C2H6</t>
  </si>
  <si>
    <t>Ethane</t>
  </si>
  <si>
    <t>C2H6O</t>
  </si>
  <si>
    <t>Ethanol</t>
  </si>
  <si>
    <t>C3H6</t>
  </si>
  <si>
    <t>Propylene</t>
  </si>
  <si>
    <t>C3H6O</t>
  </si>
  <si>
    <t>Acetone</t>
  </si>
  <si>
    <t>C3H8</t>
  </si>
  <si>
    <t>Propane</t>
  </si>
  <si>
    <t>C3H8O</t>
  </si>
  <si>
    <t>1-Propanol</t>
  </si>
  <si>
    <t>C4H6</t>
  </si>
  <si>
    <t>1,3-Butadiene</t>
  </si>
  <si>
    <t>C4H8</t>
  </si>
  <si>
    <t>cis-2-Butene</t>
  </si>
  <si>
    <t>trans-2-Butene</t>
  </si>
  <si>
    <t>C4H8O2</t>
  </si>
  <si>
    <t>C4H10</t>
  </si>
  <si>
    <t>n-Butane</t>
  </si>
  <si>
    <t>Isobutane</t>
  </si>
  <si>
    <t>C4H10O</t>
  </si>
  <si>
    <t>n-Butanol</t>
  </si>
  <si>
    <t>C5H10</t>
  </si>
  <si>
    <t>1-Pentene</t>
  </si>
  <si>
    <t>C5H12</t>
  </si>
  <si>
    <t>n-Pentane</t>
  </si>
  <si>
    <t>C6H6</t>
  </si>
  <si>
    <t>Benzene</t>
  </si>
  <si>
    <t>C6H6O</t>
  </si>
  <si>
    <t>Phenol</t>
  </si>
  <si>
    <t>C6H7N</t>
  </si>
  <si>
    <t>Aniline</t>
  </si>
  <si>
    <t>C6H12</t>
  </si>
  <si>
    <t>Cyclohexane</t>
  </si>
  <si>
    <t>1-Hexene</t>
  </si>
  <si>
    <t>Ethyl acetate</t>
  </si>
  <si>
    <t>Ethylene oxide</t>
  </si>
  <si>
    <t>Acetic acid</t>
  </si>
  <si>
    <t>C7H8</t>
  </si>
  <si>
    <t>Toluene</t>
  </si>
  <si>
    <t>C7H14</t>
  </si>
  <si>
    <t>1-Heptene</t>
  </si>
  <si>
    <t>C7H16</t>
  </si>
  <si>
    <t>n-Heptane</t>
  </si>
  <si>
    <t>C8H8</t>
  </si>
  <si>
    <t>Styrene</t>
  </si>
  <si>
    <t>C8H10</t>
  </si>
  <si>
    <t>o-Xylene</t>
  </si>
  <si>
    <t>m-Xylene</t>
  </si>
  <si>
    <t>p-Xylene</t>
  </si>
  <si>
    <t>Ethylbenzene</t>
  </si>
  <si>
    <t>C8H16</t>
  </si>
  <si>
    <t>1-Octene</t>
  </si>
  <si>
    <t>C8H18</t>
  </si>
  <si>
    <t>n-Octane</t>
  </si>
  <si>
    <t>C9H20</t>
  </si>
  <si>
    <t>n-Nonane</t>
  </si>
  <si>
    <t>C10H8</t>
  </si>
  <si>
    <t>Naphthalene</t>
  </si>
  <si>
    <t>C10H22</t>
  </si>
  <si>
    <t>n-Decane</t>
  </si>
  <si>
    <t>Ar</t>
  </si>
  <si>
    <t>Argon</t>
  </si>
  <si>
    <t>BCl3</t>
  </si>
  <si>
    <t>B2H6</t>
  </si>
  <si>
    <t>Diborane</t>
  </si>
  <si>
    <t>Br2</t>
  </si>
  <si>
    <t>Bromine</t>
  </si>
  <si>
    <t>CCl3F</t>
  </si>
  <si>
    <t>CF4</t>
  </si>
  <si>
    <t>C2F6</t>
  </si>
  <si>
    <t>CHCl3</t>
  </si>
  <si>
    <t>Chloroform</t>
  </si>
  <si>
    <t>CO</t>
  </si>
  <si>
    <t>CO2</t>
  </si>
  <si>
    <t>CS2</t>
  </si>
  <si>
    <t>Cl2</t>
  </si>
  <si>
    <t>Chlorine</t>
  </si>
  <si>
    <t>F2</t>
  </si>
  <si>
    <t>Fluorine</t>
  </si>
  <si>
    <t>H2</t>
  </si>
  <si>
    <t>Hydrogen</t>
  </si>
  <si>
    <t>HBr</t>
  </si>
  <si>
    <t>HCN</t>
  </si>
  <si>
    <t>HCl</t>
  </si>
  <si>
    <t>H2O</t>
  </si>
  <si>
    <t>Water</t>
  </si>
  <si>
    <t>H2S</t>
  </si>
  <si>
    <t>NH3</t>
  </si>
  <si>
    <t>Ammonia</t>
  </si>
  <si>
    <t>He</t>
  </si>
  <si>
    <t>Helium-4</t>
  </si>
  <si>
    <t>HF</t>
  </si>
  <si>
    <t>Kr</t>
  </si>
  <si>
    <t>Krypton</t>
  </si>
  <si>
    <t>N2</t>
  </si>
  <si>
    <t>Nitrogen</t>
  </si>
  <si>
    <t>NF3</t>
  </si>
  <si>
    <t>N2O</t>
  </si>
  <si>
    <t>NO</t>
  </si>
  <si>
    <t>NO2</t>
  </si>
  <si>
    <t>Ne</t>
  </si>
  <si>
    <t>Neon</t>
  </si>
  <si>
    <t>O2</t>
  </si>
  <si>
    <t>Oxygen</t>
  </si>
  <si>
    <t>PH3</t>
  </si>
  <si>
    <t>Phosphene</t>
  </si>
  <si>
    <t>SF6</t>
  </si>
  <si>
    <t>SO2</t>
  </si>
  <si>
    <t>Boron trichloride</t>
  </si>
  <si>
    <t>Trichlorofluoromethane</t>
  </si>
  <si>
    <t>Carbon tetrafluoride</t>
  </si>
  <si>
    <t>Hexafluoroethane</t>
  </si>
  <si>
    <t>Carbon monoxide</t>
  </si>
  <si>
    <t>Carbon dioxide</t>
  </si>
  <si>
    <t>Carbon disulfide</t>
  </si>
  <si>
    <t>Hydrogen bromide</t>
  </si>
  <si>
    <t>Hydrogen cyanide</t>
  </si>
  <si>
    <t>Hydrogen chloride</t>
  </si>
  <si>
    <t>Hydrogen sulfide</t>
  </si>
  <si>
    <t>Hydrogen fluoride</t>
  </si>
  <si>
    <t>Nitrogen trifluoride</t>
  </si>
  <si>
    <t>Nitrous oxide</t>
  </si>
  <si>
    <t>Nitric oxide</t>
  </si>
  <si>
    <t>Nitrogen dioxide</t>
  </si>
  <si>
    <t>Sulfur dioxide</t>
  </si>
  <si>
    <t>Sulfur hexafluoride</t>
  </si>
  <si>
    <t>T [K]</t>
  </si>
  <si>
    <t>Psat</t>
  </si>
  <si>
    <t>SO3</t>
  </si>
  <si>
    <t>SiCl3H</t>
  </si>
  <si>
    <t>Trichlorosilane</t>
  </si>
  <si>
    <t>SiCl4</t>
  </si>
  <si>
    <t>SiF4</t>
  </si>
  <si>
    <t>SiH4</t>
  </si>
  <si>
    <t>Silane</t>
  </si>
  <si>
    <t>WF6</t>
  </si>
  <si>
    <t>Sulfur trioxide</t>
  </si>
  <si>
    <t>Silicon tetrafluoride</t>
  </si>
  <si>
    <t>Silicon tetrachloride</t>
  </si>
  <si>
    <t>Tungsten hexafluoride</t>
  </si>
  <si>
    <t>Orgânico</t>
  </si>
  <si>
    <t>Inorgânico</t>
  </si>
  <si>
    <t>C2H2</t>
  </si>
  <si>
    <t>1-Butene</t>
  </si>
  <si>
    <t>C6H14</t>
  </si>
  <si>
    <t>n-Hexane</t>
  </si>
  <si>
    <t>Air</t>
  </si>
  <si>
    <t>N2O4</t>
  </si>
  <si>
    <t>Tetrachlorosilane</t>
  </si>
  <si>
    <t>SiClH3</t>
  </si>
  <si>
    <t>SiCl2H2</t>
  </si>
  <si>
    <t>D</t>
  </si>
  <si>
    <t>E</t>
  </si>
  <si>
    <t>Al</t>
  </si>
  <si>
    <t>Al2O3</t>
  </si>
  <si>
    <t>Cu</t>
  </si>
  <si>
    <t>Cu2O</t>
  </si>
  <si>
    <t>CuO</t>
  </si>
  <si>
    <t>Fe</t>
  </si>
  <si>
    <t>Fe3O4</t>
  </si>
  <si>
    <t>GaAs</t>
  </si>
  <si>
    <t>Ni</t>
  </si>
  <si>
    <t>Si</t>
  </si>
  <si>
    <t>SiO2</t>
  </si>
  <si>
    <t>H2SO4</t>
  </si>
  <si>
    <t>HNO3</t>
  </si>
  <si>
    <t>L. Acetone</t>
  </si>
  <si>
    <t>L. Pentane</t>
  </si>
  <si>
    <t>L. Benzene</t>
  </si>
  <si>
    <t>L. Hexane</t>
  </si>
  <si>
    <t>L. Aluminum</t>
  </si>
  <si>
    <t>S. Aluminum</t>
  </si>
  <si>
    <t>L. Copper</t>
  </si>
  <si>
    <t>L. Silicon</t>
  </si>
  <si>
    <t>S. Water (ice)</t>
  </si>
  <si>
    <t>L. Sulfuric acid</t>
  </si>
  <si>
    <t>S. Aluminum oxide</t>
  </si>
  <si>
    <t>L. Ammonia</t>
  </si>
  <si>
    <t>L. Trichlorosilane cP-</t>
  </si>
  <si>
    <t>L. Tetrachlorosilane cP-</t>
  </si>
  <si>
    <t>L. Water cP-</t>
  </si>
  <si>
    <t>L. Nitric acid cP-</t>
  </si>
  <si>
    <t>L. Ethanol cP-</t>
  </si>
  <si>
    <t>L. Methanol cP-</t>
  </si>
  <si>
    <t>S. Graphite</t>
  </si>
  <si>
    <t>S. Diamond</t>
  </si>
  <si>
    <t>S. Copper</t>
  </si>
  <si>
    <t>S. Cuprous oxide alpha</t>
  </si>
  <si>
    <t>S. Cupric oxide</t>
  </si>
  <si>
    <t>S. Iron alpha</t>
  </si>
  <si>
    <t>S. Iron oxide</t>
  </si>
  <si>
    <t>S. Gallium arsenide</t>
  </si>
  <si>
    <t>S. Nickel</t>
  </si>
  <si>
    <t>S. Silicon</t>
  </si>
  <si>
    <t>S. Silicon dioxide</t>
  </si>
  <si>
    <t>Calculador de pressão de vapor (Equação de Antoine)</t>
  </si>
  <si>
    <t>Tsup</t>
  </si>
  <si>
    <t>Tmin</t>
  </si>
  <si>
    <t>Boron trichloride T700</t>
  </si>
  <si>
    <t>Boron trichloride T6000</t>
  </si>
  <si>
    <t>Diborane T1200</t>
  </si>
  <si>
    <t>Diborane T6000</t>
  </si>
  <si>
    <t>Carbon tetrafluoride T1000</t>
  </si>
  <si>
    <t>Carbon tetrafluoride T6000</t>
  </si>
  <si>
    <t>Hexafluoroethane T1400</t>
  </si>
  <si>
    <t>Hexafluoroethane T6000</t>
  </si>
  <si>
    <t>Hydrogen bromide T6000</t>
  </si>
  <si>
    <t>Hydrogen bromide T1100</t>
  </si>
  <si>
    <t>Hydrogen fluoride T1000</t>
  </si>
  <si>
    <t>Hydrogen fluoride T6000</t>
  </si>
  <si>
    <t>Sulfur hexafluoride T1000</t>
  </si>
  <si>
    <t>Sulfur hexafluoride T6000</t>
  </si>
  <si>
    <t>Chlorosilane T1100</t>
  </si>
  <si>
    <t>Chlorosilane T6000</t>
  </si>
  <si>
    <t>Dichlorosilane T1500</t>
  </si>
  <si>
    <t>Dichlorosilane T6000</t>
  </si>
  <si>
    <t>Trichlorosilane T1000</t>
  </si>
  <si>
    <t>Trichlorosilane T6000</t>
  </si>
  <si>
    <t>Silicon tetrafluoride T1000</t>
  </si>
  <si>
    <t>Silicon tetrafluoride T6000</t>
  </si>
  <si>
    <t>Silane T1300</t>
  </si>
  <si>
    <t>Silane T6000</t>
  </si>
  <si>
    <t>R</t>
  </si>
  <si>
    <t>Water Saturation Properties  - Pressure Table</t>
  </si>
  <si>
    <t xml:space="preserve">  Temp</t>
  </si>
  <si>
    <t xml:space="preserve">  deg C</t>
  </si>
  <si>
    <t>Water Saturation Properties  - Temperature Table</t>
  </si>
  <si>
    <t>Entalpia (J/mol)</t>
  </si>
  <si>
    <t>Entalpia (kJ/mol)</t>
  </si>
  <si>
    <t>Dinitrogen tetroxide</t>
  </si>
  <si>
    <t>Calculador da variação de entalpia</t>
  </si>
  <si>
    <t>Superheated Steam Properties</t>
  </si>
  <si>
    <t>P=0.010 MPa (45.8 C)</t>
  </si>
  <si>
    <t>P=0.050 MPa (81.3 C)</t>
  </si>
  <si>
    <t>P=0.10 MPa (99.6 C)</t>
  </si>
  <si>
    <t xml:space="preserve"> volume</t>
  </si>
  <si>
    <t xml:space="preserve"> energy</t>
  </si>
  <si>
    <t>enthalpy</t>
  </si>
  <si>
    <t xml:space="preserve"> entropy</t>
  </si>
  <si>
    <t>v(m^3/kg)</t>
  </si>
  <si>
    <t xml:space="preserve"> u(kJ/kg)</t>
  </si>
  <si>
    <t xml:space="preserve"> h(kJ/kg)</t>
  </si>
  <si>
    <t>s(kJ/kg.K)</t>
  </si>
  <si>
    <t xml:space="preserve">     Sat.</t>
  </si>
  <si>
    <t>P=0.20 MPa (120.2 C)</t>
  </si>
  <si>
    <t>P=0.30 MPa (133.5 C)</t>
  </si>
  <si>
    <t>P=0.40 MPa (143.6 C)</t>
  </si>
  <si>
    <t>P=0.50 MPa (151.8 C)</t>
  </si>
  <si>
    <t>P=0.60 MPa (158.8 C)</t>
  </si>
  <si>
    <t>P=0.80 MPa (170.4 C)</t>
  </si>
  <si>
    <t>P=1.00 MPa (179.9 C)</t>
  </si>
  <si>
    <t>P=1.20 MPa (188.0 C)</t>
  </si>
  <si>
    <t>P=1.40 MPa (195.0 C)</t>
  </si>
  <si>
    <t>P=1.60 MPa (201.4 C)</t>
  </si>
  <si>
    <t>P=1.80 MPa (207.1 C)</t>
  </si>
  <si>
    <t>P=2.00 MPa (212.4 C)</t>
  </si>
  <si>
    <t>P=2.5 MPa (224.0 C)</t>
  </si>
  <si>
    <t>P=3.0 MPa (233.9 C)</t>
  </si>
  <si>
    <t>P=3.5 MPa (242.6 C)</t>
  </si>
  <si>
    <t>P=4.0 MPa (250.4 C)</t>
  </si>
  <si>
    <t>P=4.5 MPa (257.4 C)</t>
  </si>
  <si>
    <t>P=5.0 MPa (263.9 C)</t>
  </si>
  <si>
    <t>P=6.0 MPa (275.6 C)</t>
  </si>
  <si>
    <t>P=7.0 MPa (285.8 C)</t>
  </si>
  <si>
    <t>P=8.0 MPa (295.0 C)</t>
  </si>
  <si>
    <t>P=9.0 MPa (303.3 C)</t>
  </si>
  <si>
    <t>P=10.0 MPa (311.0 C)</t>
  </si>
  <si>
    <t>P=12.5 MPa (327.8 C)</t>
  </si>
  <si>
    <t>P=15.0 MPa (342.16 C)</t>
  </si>
  <si>
    <t>P=17.5 MPa (354.7 C)</t>
  </si>
  <si>
    <t>P=20.0 MPa (365.8 C)</t>
  </si>
  <si>
    <t>P=25.0 MPa</t>
  </si>
  <si>
    <t>P=30.0 MPa</t>
  </si>
  <si>
    <t>P=40.0 MPa</t>
  </si>
  <si>
    <t>(Source of data:</t>
  </si>
  <si>
    <t xml:space="preserve"> NIST Chemistry WebBook</t>
  </si>
  <si>
    <t>Accessed: Jan 2008)</t>
  </si>
  <si>
    <t xml:space="preserve"> </t>
  </si>
  <si>
    <t>Pressure P = 5 MPa</t>
  </si>
  <si>
    <t>Pressure P = 10 MPa</t>
  </si>
  <si>
    <t>Pressure P = 15 MPa</t>
  </si>
  <si>
    <t>Temp</t>
  </si>
  <si>
    <t>density</t>
  </si>
  <si>
    <t>energy</t>
  </si>
  <si>
    <t>entropy</t>
  </si>
  <si>
    <t>deg C</t>
  </si>
  <si>
    <t>kg/m^3</t>
  </si>
  <si>
    <t>u(kJ/kg)</t>
  </si>
  <si>
    <t>h(kJ/kg)</t>
  </si>
  <si>
    <t>Pressure P = 20 MPa</t>
  </si>
  <si>
    <t>Pressure P = 25 MPa</t>
  </si>
  <si>
    <t>Pressure P = 30 MPa</t>
  </si>
  <si>
    <t>Subcooled Water Properties</t>
  </si>
  <si>
    <t xml:space="preserve">  Temperature (oC)</t>
  </si>
  <si>
    <t xml:space="preserve">   Pressure (Mpa)</t>
  </si>
  <si>
    <t>uf energy (kJ/kg)</t>
  </si>
  <si>
    <t>vf volume (m^3/kg)</t>
  </si>
  <si>
    <t>vg volume (m^3/kg)</t>
  </si>
  <si>
    <t>ug energy (kJ/kg)</t>
  </si>
  <si>
    <t>hf enthalpy (kJ/kg)</t>
  </si>
  <si>
    <t>hfg enthalpy (kJ/kg)</t>
  </si>
  <si>
    <t>hg enthalpy (kJ/kg)</t>
  </si>
  <si>
    <t>sf entropy (kJ/kg.K)</t>
  </si>
  <si>
    <t>sfg entropy (kJ/kg.K)</t>
  </si>
  <si>
    <t>sg entropy (kJ/kg.K)</t>
  </si>
  <si>
    <t>Vol. Liq. (m^3/kg)</t>
  </si>
  <si>
    <t>Vol. Vap. (m^3/kg)</t>
  </si>
  <si>
    <t>Temperatura (oC)</t>
  </si>
  <si>
    <t>Qualidade (%)</t>
  </si>
  <si>
    <t>Volume (m^3/kg)</t>
  </si>
  <si>
    <t>Pressão (MPa)</t>
  </si>
  <si>
    <t>Entalpia (kJ/kg)</t>
  </si>
  <si>
    <t>Entropia (kJ/kg.K)</t>
  </si>
  <si>
    <t>Entro. Liq. (kJ/kg.K)</t>
  </si>
  <si>
    <t>Entro. Vap. (kJ/kg.K)</t>
  </si>
  <si>
    <t>Entalp. Vap. (kJ/kg)</t>
  </si>
  <si>
    <t>Entalp. Liq. (kJ/kg)</t>
  </si>
  <si>
    <t>Temperature (oC)</t>
  </si>
  <si>
    <t>Pressure (Mpa)</t>
  </si>
  <si>
    <t>Fonte:</t>
  </si>
  <si>
    <t>Thermodynamic Properties of Steam (updated 6/8/2009) (ohio.edu)</t>
  </si>
  <si>
    <t>Engineering and Chemical Thermodynamics, 2nd Edition - Milo D. Koretsky</t>
  </si>
  <si>
    <t>Energia Vap. (kJ/kg)</t>
  </si>
  <si>
    <t>Energia Liq. (kJ/kg)</t>
  </si>
  <si>
    <t>Energia (kJ/kg)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</si>
</sst>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#\ \K"/>
    <numFmt numFmtId="165" formatCode="0.00000"/>
    <numFmt numFmtId="166" formatCode="0.0"/>
    <numFmt numFmtId="167" formatCode="0.000"/>
    <numFmt numFmtId="168" formatCode="0.0000"/>
    <numFmt numFmtId="169" formatCode="0.000000"/>
    <numFmt numFmtId="170" formatCode="0.000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i/>
      <sz val="8"/>
      <color theme="0"/>
      <name val="Bahnschrift"/>
      <family val="2"/>
    </font>
    <font>
      <b/>
      <sz val="18"/>
      <color theme="0"/>
      <name val="Bahnschrift"/>
      <family val="2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1"/>
      <name val="Calibri"/>
      <family val="2"/>
      <scheme val="minor"/>
    </font>
    <font>
      <i/>
      <sz val="10"/>
      <name val="Verdana"/>
      <family val="2"/>
    </font>
    <font>
      <b/>
      <u/>
      <sz val="10"/>
      <color theme="0"/>
      <name val="Verdana"/>
      <family val="2"/>
    </font>
    <font>
      <b/>
      <sz val="16"/>
      <name val="Calibri"/>
      <family val="2"/>
      <scheme val="minor"/>
    </font>
    <font>
      <b/>
      <sz val="16"/>
      <color theme="0"/>
      <name val="Bahnschrift"/>
      <family val="2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name val="Calibri"/>
      <family val="2"/>
      <scheme val="minor"/>
    </font>
    <font>
      <sz val="4"/>
      <color theme="8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3" fillId="0" borderId="0" applyNumberFormat="0" applyFill="0" applyBorder="0" applyAlignment="0" applyProtection="0"/>
  </cellStyleXfs>
  <cellXfs count="163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1" fillId="4" borderId="1" xfId="0" applyFont="1" applyFill="1" applyBorder="1"/>
    <xf numFmtId="164" fontId="0" fillId="4" borderId="1" xfId="0" applyNumberFormat="1" applyFill="1" applyBorder="1"/>
    <xf numFmtId="0" fontId="0" fillId="6" borderId="0" xfId="0" applyFill="1"/>
    <xf numFmtId="0" fontId="0" fillId="6" borderId="0" xfId="0" applyFill="1" applyBorder="1"/>
    <xf numFmtId="0" fontId="0" fillId="2" borderId="1" xfId="0" applyFill="1" applyBorder="1"/>
    <xf numFmtId="0" fontId="5" fillId="6" borderId="0" xfId="0" applyFont="1" applyFill="1" applyBorder="1" applyAlignment="1">
      <alignment vertical="center"/>
    </xf>
    <xf numFmtId="0" fontId="1" fillId="11" borderId="12" xfId="0" applyFont="1" applyFill="1" applyBorder="1"/>
    <xf numFmtId="0" fontId="0" fillId="10" borderId="14" xfId="0" applyFill="1" applyBorder="1"/>
    <xf numFmtId="0" fontId="1" fillId="11" borderId="15" xfId="0" applyFont="1" applyFill="1" applyBorder="1"/>
    <xf numFmtId="0" fontId="1" fillId="11" borderId="16" xfId="0" applyFont="1" applyFill="1" applyBorder="1"/>
    <xf numFmtId="0" fontId="1" fillId="11" borderId="17" xfId="0" applyFont="1" applyFill="1" applyBorder="1"/>
    <xf numFmtId="11" fontId="0" fillId="10" borderId="18" xfId="0" applyNumberFormat="1" applyFill="1" applyBorder="1"/>
    <xf numFmtId="11" fontId="0" fillId="10" borderId="19" xfId="0" applyNumberFormat="1" applyFill="1" applyBorder="1"/>
    <xf numFmtId="11" fontId="0" fillId="10" borderId="20" xfId="0" applyNumberFormat="1" applyFill="1" applyBorder="1"/>
    <xf numFmtId="0" fontId="0" fillId="10" borderId="18" xfId="0" applyFill="1" applyBorder="1"/>
    <xf numFmtId="0" fontId="0" fillId="10" borderId="20" xfId="0" applyFill="1" applyBorder="1"/>
    <xf numFmtId="0" fontId="1" fillId="12" borderId="12" xfId="0" applyFont="1" applyFill="1" applyBorder="1"/>
    <xf numFmtId="0" fontId="1" fillId="12" borderId="13" xfId="0" applyFont="1" applyFill="1" applyBorder="1"/>
    <xf numFmtId="0" fontId="0" fillId="2" borderId="14" xfId="0" applyFill="1" applyBorder="1"/>
    <xf numFmtId="0" fontId="0" fillId="2" borderId="13" xfId="0" applyFill="1" applyBorder="1"/>
    <xf numFmtId="0" fontId="1" fillId="13" borderId="12" xfId="0" applyFont="1" applyFill="1" applyBorder="1"/>
    <xf numFmtId="0" fontId="1" fillId="13" borderId="13" xfId="0" applyFont="1" applyFill="1" applyBorder="1"/>
    <xf numFmtId="165" fontId="0" fillId="4" borderId="13" xfId="0" applyNumberFormat="1" applyFill="1" applyBorder="1"/>
    <xf numFmtId="2" fontId="0" fillId="4" borderId="14" xfId="0" applyNumberFormat="1" applyFill="1" applyBorder="1"/>
    <xf numFmtId="0" fontId="0" fillId="7" borderId="1" xfId="0" applyFill="1" applyBorder="1"/>
    <xf numFmtId="0" fontId="0" fillId="7" borderId="10" xfId="0" applyFill="1" applyBorder="1"/>
    <xf numFmtId="0" fontId="0" fillId="14" borderId="1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6" borderId="0" xfId="0" applyFill="1" applyBorder="1" applyAlignment="1"/>
    <xf numFmtId="0" fontId="7" fillId="0" borderId="0" xfId="1"/>
    <xf numFmtId="2" fontId="7" fillId="0" borderId="0" xfId="1" applyNumberFormat="1"/>
    <xf numFmtId="165" fontId="7" fillId="0" borderId="0" xfId="1" applyNumberFormat="1"/>
    <xf numFmtId="0" fontId="7" fillId="0" borderId="0" xfId="1"/>
    <xf numFmtId="2" fontId="7" fillId="11" borderId="1" xfId="1" applyNumberFormat="1" applyFill="1" applyBorder="1"/>
    <xf numFmtId="166" fontId="7" fillId="11" borderId="1" xfId="1" applyNumberFormat="1" applyFill="1" applyBorder="1"/>
    <xf numFmtId="167" fontId="7" fillId="11" borderId="1" xfId="1" applyNumberFormat="1" applyFill="1" applyBorder="1"/>
    <xf numFmtId="2" fontId="9" fillId="11" borderId="1" xfId="1" applyNumberFormat="1" applyFont="1" applyFill="1" applyBorder="1"/>
    <xf numFmtId="166" fontId="9" fillId="11" borderId="1" xfId="1" applyNumberFormat="1" applyFont="1" applyFill="1" applyBorder="1"/>
    <xf numFmtId="167" fontId="9" fillId="11" borderId="1" xfId="1" applyNumberFormat="1" applyFont="1" applyFill="1" applyBorder="1"/>
    <xf numFmtId="2" fontId="7" fillId="10" borderId="1" xfId="1" applyNumberFormat="1" applyFill="1" applyBorder="1"/>
    <xf numFmtId="166" fontId="7" fillId="10" borderId="1" xfId="1" applyNumberFormat="1" applyFill="1" applyBorder="1"/>
    <xf numFmtId="167" fontId="7" fillId="10" borderId="1" xfId="1" applyNumberFormat="1" applyFill="1" applyBorder="1"/>
    <xf numFmtId="0" fontId="7" fillId="11" borderId="1" xfId="1" applyFill="1" applyBorder="1"/>
    <xf numFmtId="0" fontId="9" fillId="11" borderId="1" xfId="1" applyFont="1" applyFill="1" applyBorder="1"/>
    <xf numFmtId="1" fontId="7" fillId="11" borderId="1" xfId="1" applyNumberFormat="1" applyFill="1" applyBorder="1"/>
    <xf numFmtId="2" fontId="10" fillId="15" borderId="23" xfId="1" applyNumberFormat="1" applyFont="1" applyFill="1" applyBorder="1" applyAlignment="1"/>
    <xf numFmtId="2" fontId="10" fillId="15" borderId="10" xfId="1" applyNumberFormat="1" applyFont="1" applyFill="1" applyBorder="1" applyAlignment="1"/>
    <xf numFmtId="2" fontId="10" fillId="15" borderId="24" xfId="1" applyNumberFormat="1" applyFont="1" applyFill="1" applyBorder="1" applyAlignment="1"/>
    <xf numFmtId="0" fontId="0" fillId="15" borderId="0" xfId="0" applyFill="1"/>
    <xf numFmtId="0" fontId="2" fillId="9" borderId="21" xfId="1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2" borderId="20" xfId="0" applyFont="1" applyFill="1" applyBorder="1"/>
    <xf numFmtId="0" fontId="6" fillId="4" borderId="28" xfId="0" applyFont="1" applyFill="1" applyBorder="1"/>
    <xf numFmtId="0" fontId="6" fillId="10" borderId="17" xfId="0" applyFont="1" applyFill="1" applyBorder="1"/>
    <xf numFmtId="9" fontId="6" fillId="2" borderId="17" xfId="0" applyNumberFormat="1" applyFont="1" applyFill="1" applyBorder="1"/>
    <xf numFmtId="165" fontId="0" fillId="0" borderId="0" xfId="0" applyNumberFormat="1"/>
    <xf numFmtId="165" fontId="7" fillId="11" borderId="1" xfId="1" applyNumberFormat="1" applyFill="1" applyBorder="1"/>
    <xf numFmtId="165" fontId="9" fillId="11" borderId="1" xfId="1" applyNumberFormat="1" applyFont="1" applyFill="1" applyBorder="1"/>
    <xf numFmtId="165" fontId="7" fillId="10" borderId="1" xfId="1" applyNumberFormat="1" applyFill="1" applyBorder="1"/>
    <xf numFmtId="165" fontId="10" fillId="15" borderId="23" xfId="1" applyNumberFormat="1" applyFont="1" applyFill="1" applyBorder="1" applyAlignment="1"/>
    <xf numFmtId="165" fontId="7" fillId="17" borderId="1" xfId="1" applyNumberFormat="1" applyFill="1" applyBorder="1"/>
    <xf numFmtId="166" fontId="7" fillId="17" borderId="1" xfId="1" applyNumberFormat="1" applyFill="1" applyBorder="1"/>
    <xf numFmtId="167" fontId="7" fillId="17" borderId="1" xfId="1" applyNumberFormat="1" applyFill="1" applyBorder="1"/>
    <xf numFmtId="0" fontId="0" fillId="7" borderId="25" xfId="0" applyFill="1" applyBorder="1"/>
    <xf numFmtId="0" fontId="0" fillId="2" borderId="25" xfId="0" applyFill="1" applyBorder="1"/>
    <xf numFmtId="0" fontId="4" fillId="6" borderId="0" xfId="0" applyFont="1" applyFill="1" applyBorder="1" applyAlignment="1">
      <alignment vertical="center"/>
    </xf>
    <xf numFmtId="0" fontId="0" fillId="9" borderId="30" xfId="0" applyFill="1" applyBorder="1"/>
    <xf numFmtId="0" fontId="2" fillId="9" borderId="19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0" fillId="7" borderId="8" xfId="0" applyFill="1" applyBorder="1"/>
    <xf numFmtId="0" fontId="5" fillId="9" borderId="30" xfId="0" applyFont="1" applyFill="1" applyBorder="1" applyAlignment="1">
      <alignment vertical="center"/>
    </xf>
    <xf numFmtId="0" fontId="2" fillId="9" borderId="30" xfId="0" applyFont="1" applyFill="1" applyBorder="1" applyAlignment="1">
      <alignment horizontal="center" vertical="center"/>
    </xf>
    <xf numFmtId="0" fontId="11" fillId="8" borderId="25" xfId="1" applyFont="1" applyFill="1" applyBorder="1"/>
    <xf numFmtId="169" fontId="8" fillId="8" borderId="25" xfId="1" applyNumberFormat="1" applyFont="1" applyFill="1" applyBorder="1"/>
    <xf numFmtId="2" fontId="8" fillId="8" borderId="25" xfId="1" applyNumberFormat="1" applyFont="1" applyFill="1" applyBorder="1"/>
    <xf numFmtId="166" fontId="8" fillId="8" borderId="25" xfId="1" applyNumberFormat="1" applyFont="1" applyFill="1" applyBorder="1"/>
    <xf numFmtId="168" fontId="8" fillId="8" borderId="25" xfId="1" applyNumberFormat="1" applyFont="1" applyFill="1" applyBorder="1"/>
    <xf numFmtId="0" fontId="8" fillId="8" borderId="25" xfId="1" applyFont="1" applyFill="1" applyBorder="1"/>
    <xf numFmtId="0" fontId="0" fillId="9" borderId="30" xfId="0" applyFill="1" applyBorder="1" applyAlignment="1">
      <alignment horizontal="center" vertical="center"/>
    </xf>
    <xf numFmtId="0" fontId="6" fillId="9" borderId="30" xfId="0" applyFont="1" applyFill="1" applyBorder="1" applyAlignment="1">
      <alignment horizontal="center" vertical="center"/>
    </xf>
    <xf numFmtId="0" fontId="8" fillId="7" borderId="25" xfId="1" applyFont="1" applyFill="1" applyBorder="1"/>
    <xf numFmtId="0" fontId="1" fillId="16" borderId="27" xfId="0" applyFont="1" applyFill="1" applyBorder="1"/>
    <xf numFmtId="0" fontId="1" fillId="11" borderId="18" xfId="0" applyFont="1" applyFill="1" applyBorder="1"/>
    <xf numFmtId="0" fontId="1" fillId="12" borderId="18" xfId="0" applyFont="1" applyFill="1" applyBorder="1"/>
    <xf numFmtId="0" fontId="1" fillId="12" borderId="15" xfId="0" applyFont="1" applyFill="1" applyBorder="1"/>
    <xf numFmtId="0" fontId="11" fillId="7" borderId="9" xfId="1" applyFont="1" applyFill="1" applyBorder="1"/>
    <xf numFmtId="169" fontId="8" fillId="7" borderId="0" xfId="1" applyNumberFormat="1" applyFont="1" applyFill="1" applyBorder="1"/>
    <xf numFmtId="165" fontId="8" fillId="7" borderId="0" xfId="1" applyNumberFormat="1" applyFont="1" applyFill="1" applyBorder="1"/>
    <xf numFmtId="168" fontId="8" fillId="7" borderId="0" xfId="1" applyNumberFormat="1" applyFont="1" applyFill="1" applyBorder="1"/>
    <xf numFmtId="169" fontId="8" fillId="7" borderId="11" xfId="1" applyNumberFormat="1" applyFont="1" applyFill="1" applyBorder="1"/>
    <xf numFmtId="168" fontId="8" fillId="7" borderId="26" xfId="1" applyNumberFormat="1" applyFont="1" applyFill="1" applyBorder="1"/>
    <xf numFmtId="0" fontId="8" fillId="7" borderId="26" xfId="1" applyFont="1" applyFill="1" applyBorder="1"/>
    <xf numFmtId="169" fontId="8" fillId="7" borderId="8" xfId="1" applyNumberFormat="1" applyFont="1" applyFill="1" applyBorder="1"/>
    <xf numFmtId="2" fontId="8" fillId="7" borderId="0" xfId="1" applyNumberFormat="1" applyFont="1" applyFill="1" applyBorder="1"/>
    <xf numFmtId="167" fontId="8" fillId="7" borderId="0" xfId="1" applyNumberFormat="1" applyFont="1" applyFill="1" applyBorder="1"/>
    <xf numFmtId="2" fontId="8" fillId="7" borderId="11" xfId="1" applyNumberFormat="1" applyFont="1" applyFill="1" applyBorder="1"/>
    <xf numFmtId="168" fontId="8" fillId="7" borderId="34" xfId="1" applyNumberFormat="1" applyFont="1" applyFill="1" applyBorder="1"/>
    <xf numFmtId="166" fontId="8" fillId="7" borderId="0" xfId="1" applyNumberFormat="1" applyFont="1" applyFill="1" applyBorder="1"/>
    <xf numFmtId="166" fontId="8" fillId="7" borderId="8" xfId="1" applyNumberFormat="1" applyFont="1" applyFill="1" applyBorder="1"/>
    <xf numFmtId="166" fontId="8" fillId="7" borderId="11" xfId="1" applyNumberFormat="1" applyFont="1" applyFill="1" applyBorder="1"/>
    <xf numFmtId="166" fontId="8" fillId="7" borderId="32" xfId="1" applyNumberFormat="1" applyFont="1" applyFill="1" applyBorder="1"/>
    <xf numFmtId="166" fontId="8" fillId="7" borderId="26" xfId="1" applyNumberFormat="1" applyFont="1" applyFill="1" applyBorder="1"/>
    <xf numFmtId="166" fontId="8" fillId="7" borderId="9" xfId="1" applyNumberFormat="1" applyFont="1" applyFill="1" applyBorder="1"/>
    <xf numFmtId="168" fontId="8" fillId="7" borderId="31" xfId="1" applyNumberFormat="1" applyFont="1" applyFill="1" applyBorder="1"/>
    <xf numFmtId="2" fontId="8" fillId="7" borderId="32" xfId="1" applyNumberFormat="1" applyFont="1" applyFill="1" applyBorder="1"/>
    <xf numFmtId="2" fontId="8" fillId="7" borderId="26" xfId="1" applyNumberFormat="1" applyFont="1" applyFill="1" applyBorder="1"/>
    <xf numFmtId="2" fontId="8" fillId="7" borderId="9" xfId="1" applyNumberFormat="1" applyFont="1" applyFill="1" applyBorder="1"/>
    <xf numFmtId="168" fontId="8" fillId="7" borderId="11" xfId="1" applyNumberFormat="1" applyFont="1" applyFill="1" applyBorder="1"/>
    <xf numFmtId="168" fontId="8" fillId="7" borderId="32" xfId="1" applyNumberFormat="1" applyFont="1" applyFill="1" applyBorder="1"/>
    <xf numFmtId="168" fontId="8" fillId="7" borderId="9" xfId="1" applyNumberFormat="1" applyFont="1" applyFill="1" applyBorder="1"/>
    <xf numFmtId="0" fontId="8" fillId="7" borderId="33" xfId="1" applyFont="1" applyFill="1" applyBorder="1"/>
    <xf numFmtId="0" fontId="8" fillId="7" borderId="34" xfId="1" applyFont="1" applyFill="1" applyBorder="1"/>
    <xf numFmtId="0" fontId="11" fillId="7" borderId="32" xfId="1" applyFont="1" applyFill="1" applyBorder="1"/>
    <xf numFmtId="0" fontId="11" fillId="7" borderId="26" xfId="1" applyFont="1" applyFill="1" applyBorder="1"/>
    <xf numFmtId="170" fontId="8" fillId="7" borderId="21" xfId="1" applyNumberFormat="1" applyFont="1" applyFill="1" applyBorder="1"/>
    <xf numFmtId="170" fontId="8" fillId="7" borderId="22" xfId="1" applyNumberFormat="1" applyFont="1" applyFill="1" applyBorder="1"/>
    <xf numFmtId="169" fontId="8" fillId="7" borderId="22" xfId="1" applyNumberFormat="1" applyFont="1" applyFill="1" applyBorder="1"/>
    <xf numFmtId="165" fontId="8" fillId="7" borderId="22" xfId="1" applyNumberFormat="1" applyFont="1" applyFill="1" applyBorder="1"/>
    <xf numFmtId="168" fontId="8" fillId="7" borderId="22" xfId="1" applyNumberFormat="1" applyFont="1" applyFill="1" applyBorder="1"/>
    <xf numFmtId="0" fontId="8" fillId="7" borderId="22" xfId="1" applyFont="1" applyFill="1" applyBorder="1"/>
    <xf numFmtId="169" fontId="8" fillId="6" borderId="0" xfId="1" applyNumberFormat="1" applyFont="1" applyFill="1" applyBorder="1"/>
    <xf numFmtId="166" fontId="8" fillId="6" borderId="0" xfId="1" applyNumberFormat="1" applyFont="1" applyFill="1" applyBorder="1"/>
    <xf numFmtId="168" fontId="8" fillId="6" borderId="0" xfId="1" applyNumberFormat="1" applyFont="1" applyFill="1" applyBorder="1"/>
    <xf numFmtId="0" fontId="11" fillId="6" borderId="0" xfId="1" applyFont="1" applyFill="1" applyBorder="1"/>
    <xf numFmtId="0" fontId="8" fillId="6" borderId="0" xfId="1" applyFont="1" applyFill="1" applyBorder="1"/>
    <xf numFmtId="2" fontId="8" fillId="6" borderId="0" xfId="1" applyNumberFormat="1" applyFont="1" applyFill="1" applyBorder="1"/>
    <xf numFmtId="0" fontId="6" fillId="6" borderId="0" xfId="0" applyFont="1" applyFill="1" applyBorder="1"/>
    <xf numFmtId="0" fontId="8" fillId="7" borderId="9" xfId="1" applyFont="1" applyFill="1" applyBorder="1"/>
    <xf numFmtId="168" fontId="8" fillId="7" borderId="8" xfId="1" applyNumberFormat="1" applyFont="1" applyFill="1" applyBorder="1"/>
    <xf numFmtId="0" fontId="8" fillId="7" borderId="31" xfId="1" applyFont="1" applyFill="1" applyBorder="1"/>
    <xf numFmtId="0" fontId="2" fillId="9" borderId="1" xfId="1" applyFont="1" applyFill="1" applyBorder="1" applyAlignment="1">
      <alignment horizontal="center" vertical="center" wrapText="1"/>
    </xf>
    <xf numFmtId="0" fontId="12" fillId="9" borderId="8" xfId="1" applyFont="1" applyFill="1" applyBorder="1" applyAlignment="1">
      <alignment vertical="center"/>
    </xf>
    <xf numFmtId="0" fontId="6" fillId="9" borderId="8" xfId="0" applyFont="1" applyFill="1" applyBorder="1"/>
    <xf numFmtId="0" fontId="16" fillId="6" borderId="0" xfId="0" applyFont="1" applyFill="1"/>
    <xf numFmtId="0" fontId="5" fillId="9" borderId="29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5" borderId="2" xfId="0" applyFont="1" applyFill="1" applyBorder="1" applyAlignment="1">
      <alignment vertical="center"/>
    </xf>
    <xf numFmtId="0" fontId="1" fillId="5" borderId="4" xfId="0" applyFont="1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35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5" fillId="10" borderId="4" xfId="2" applyFont="1" applyFill="1" applyBorder="1" applyAlignment="1">
      <alignment horizontal="left"/>
    </xf>
    <xf numFmtId="0" fontId="15" fillId="10" borderId="30" xfId="2" applyFont="1" applyFill="1" applyBorder="1" applyAlignment="1">
      <alignment horizontal="left"/>
    </xf>
    <xf numFmtId="0" fontId="15" fillId="10" borderId="5" xfId="2" applyFont="1" applyFill="1" applyBorder="1" applyAlignment="1">
      <alignment horizontal="left"/>
    </xf>
    <xf numFmtId="0" fontId="12" fillId="9" borderId="29" xfId="1" applyFont="1" applyFill="1" applyBorder="1" applyAlignment="1">
      <alignment horizontal="center" vertical="center"/>
    </xf>
    <xf numFmtId="0" fontId="12" fillId="9" borderId="30" xfId="1" applyFont="1" applyFill="1" applyBorder="1" applyAlignment="1">
      <alignment horizontal="center" vertical="center"/>
    </xf>
    <xf numFmtId="0" fontId="14" fillId="10" borderId="4" xfId="2" applyFont="1" applyFill="1" applyBorder="1" applyAlignment="1">
      <alignment horizontal="left"/>
    </xf>
    <xf numFmtId="0" fontId="14" fillId="10" borderId="5" xfId="2" applyFont="1" applyFill="1" applyBorder="1" applyAlignment="1">
      <alignment horizontal="left"/>
    </xf>
    <xf numFmtId="0" fontId="12" fillId="9" borderId="9" xfId="1" applyFont="1" applyFill="1" applyBorder="1" applyAlignment="1">
      <alignment horizontal="center" vertical="center"/>
    </xf>
    <xf numFmtId="0" fontId="12" fillId="9" borderId="8" xfId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CCDD1029-3F2D-45CA-AD41-BB3134AE17C6}"/>
  </cellStyles>
  <dxfs count="6"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Temperatura vs. Pressão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temperatura vs. pressao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'Temp. steam table'!$B$2:$B$50</c:f>
              <c:numCache>
                <c:formatCode>0.0000000</c:formatCode>
                <c:ptCount val="49"/>
                <c:pt idx="0">
                  <c:v>6.1165000000000004E-4</c:v>
                </c:pt>
                <c:pt idx="1">
                  <c:v>8.7257999999999997E-4</c:v>
                </c:pt>
                <c:pt idx="2" formatCode="0.000000">
                  <c:v>1.2282E-3</c:v>
                </c:pt>
                <c:pt idx="3" formatCode="0.000000">
                  <c:v>1.7057999999999999E-3</c:v>
                </c:pt>
                <c:pt idx="4" formatCode="0.000000">
                  <c:v>2.3392999999999999E-3</c:v>
                </c:pt>
                <c:pt idx="5" formatCode="0.000000">
                  <c:v>3.1698999999999998E-3</c:v>
                </c:pt>
                <c:pt idx="6" formatCode="0.000000">
                  <c:v>4.2469999999999999E-3</c:v>
                </c:pt>
                <c:pt idx="7" formatCode="0.000000">
                  <c:v>5.6290000000000003E-3</c:v>
                </c:pt>
                <c:pt idx="8" formatCode="0.000000">
                  <c:v>7.3848999999999998E-3</c:v>
                </c:pt>
                <c:pt idx="9" formatCode="0.000000">
                  <c:v>9.5949999999999994E-3</c:v>
                </c:pt>
                <c:pt idx="10" formatCode="0.00000">
                  <c:v>1.2352E-2</c:v>
                </c:pt>
                <c:pt idx="11" formatCode="0.00000">
                  <c:v>1.5762000000000002E-2</c:v>
                </c:pt>
                <c:pt idx="12" formatCode="0.00000">
                  <c:v>1.9945999999999998E-2</c:v>
                </c:pt>
                <c:pt idx="13" formatCode="0.00000">
                  <c:v>2.5041999999999998E-2</c:v>
                </c:pt>
                <c:pt idx="14" formatCode="0.00000">
                  <c:v>3.1201E-2</c:v>
                </c:pt>
                <c:pt idx="15" formatCode="0.00000">
                  <c:v>3.8594999999999997E-2</c:v>
                </c:pt>
                <c:pt idx="16" formatCode="0.00000">
                  <c:v>4.7413999999999998E-2</c:v>
                </c:pt>
                <c:pt idx="17" formatCode="0.00000">
                  <c:v>5.7867000000000002E-2</c:v>
                </c:pt>
                <c:pt idx="18" formatCode="0.00000">
                  <c:v>7.0181999999999994E-2</c:v>
                </c:pt>
                <c:pt idx="19" formatCode="0.00000">
                  <c:v>8.4608000000000003E-2</c:v>
                </c:pt>
                <c:pt idx="20" formatCode="0.0000">
                  <c:v>0.10142</c:v>
                </c:pt>
                <c:pt idx="21" formatCode="0.0000">
                  <c:v>0.14338000000000001</c:v>
                </c:pt>
                <c:pt idx="22" formatCode="0.0000">
                  <c:v>0.19867000000000001</c:v>
                </c:pt>
                <c:pt idx="23" formatCode="0.0000">
                  <c:v>0.27028000000000002</c:v>
                </c:pt>
                <c:pt idx="24" formatCode="0.0000">
                  <c:v>0.36153999999999997</c:v>
                </c:pt>
                <c:pt idx="25" formatCode="0.0000">
                  <c:v>0.47616000000000003</c:v>
                </c:pt>
                <c:pt idx="26" formatCode="0.0000">
                  <c:v>0.61822999999999995</c:v>
                </c:pt>
                <c:pt idx="27" formatCode="0.0000">
                  <c:v>0.79218999999999995</c:v>
                </c:pt>
                <c:pt idx="28" formatCode="0.0000">
                  <c:v>1.0027999999999999</c:v>
                </c:pt>
                <c:pt idx="29" formatCode="0.0000">
                  <c:v>1.2552000000000001</c:v>
                </c:pt>
                <c:pt idx="30" formatCode="0.0000">
                  <c:v>1.5548999999999999</c:v>
                </c:pt>
                <c:pt idx="31" formatCode="0.0000">
                  <c:v>1.9077</c:v>
                </c:pt>
                <c:pt idx="32" formatCode="0.0000">
                  <c:v>2.3195999999999999</c:v>
                </c:pt>
                <c:pt idx="33" formatCode="0.0000">
                  <c:v>2.7970999999999999</c:v>
                </c:pt>
                <c:pt idx="34" formatCode="0.0000">
                  <c:v>3.3469000000000002</c:v>
                </c:pt>
                <c:pt idx="35" formatCode="0.0000">
                  <c:v>3.9762</c:v>
                </c:pt>
                <c:pt idx="36" formatCode="0.0000">
                  <c:v>4.6923000000000004</c:v>
                </c:pt>
                <c:pt idx="37" formatCode="0.0000">
                  <c:v>5.5030000000000001</c:v>
                </c:pt>
                <c:pt idx="38" formatCode="0.0000">
                  <c:v>6.4165999999999999</c:v>
                </c:pt>
                <c:pt idx="39" formatCode="0.0000">
                  <c:v>7.4417999999999997</c:v>
                </c:pt>
                <c:pt idx="40" formatCode="0.0000">
                  <c:v>8.5878999999999994</c:v>
                </c:pt>
                <c:pt idx="41" formatCode="0.0000">
                  <c:v>9.8651</c:v>
                </c:pt>
                <c:pt idx="42" formatCode="General">
                  <c:v>11.284000000000001</c:v>
                </c:pt>
                <c:pt idx="43" formatCode="General">
                  <c:v>12.858000000000001</c:v>
                </c:pt>
                <c:pt idx="44" formatCode="General">
                  <c:v>14.601000000000001</c:v>
                </c:pt>
                <c:pt idx="45" formatCode="General">
                  <c:v>16.529</c:v>
                </c:pt>
                <c:pt idx="46" formatCode="General">
                  <c:v>18.666</c:v>
                </c:pt>
                <c:pt idx="47" formatCode="General">
                  <c:v>21.044</c:v>
                </c:pt>
                <c:pt idx="48" formatCode="General">
                  <c:v>22.064</c:v>
                </c:pt>
              </c:numCache>
            </c:numRef>
          </c:xVal>
          <c:yVal>
            <c:numRef>
              <c:f>'Temp. steam table'!$A$2:$A$50</c:f>
              <c:numCache>
                <c:formatCode>General</c:formatCode>
                <c:ptCount val="49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373.95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C6-4790-8B7C-1EA324312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24864"/>
        <c:axId val="525917648"/>
      </c:scatterChart>
      <c:valAx>
        <c:axId val="525924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Pressão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5917648"/>
        <c:crosses val="autoZero"/>
        <c:crossBetween val="midCat"/>
      </c:valAx>
      <c:valAx>
        <c:axId val="5259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Temperatura (oC)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592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Temperatura</a:t>
            </a:r>
            <a:r>
              <a:rPr lang="pt-BR" baseline="0"/>
              <a:t> vs. entropia específica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'Temp. steam table'!$J$1</c:f>
              <c:strCache>
                <c:ptCount val="1"/>
                <c:pt idx="0">
                  <c:v>sf entropy (kJ/kg.K)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  <a:round/>
              </a:ln>
              <a:effectLst/>
            </c:spPr>
          </c:marker>
          <c:xVal>
            <c:numRef>
              <c:f>'Temp. steam table'!$J$2:$J$50</c:f>
              <c:numCache>
                <c:formatCode>0.0000</c:formatCode>
                <c:ptCount val="49"/>
                <c:pt idx="0">
                  <c:v>0</c:v>
                </c:pt>
                <c:pt idx="1">
                  <c:v>7.6254000000000002E-2</c:v>
                </c:pt>
                <c:pt idx="2">
                  <c:v>0.15109</c:v>
                </c:pt>
                <c:pt idx="3">
                  <c:v>0.22445999999999999</c:v>
                </c:pt>
                <c:pt idx="4">
                  <c:v>0.29648000000000002</c:v>
                </c:pt>
                <c:pt idx="5">
                  <c:v>0.36721999999999999</c:v>
                </c:pt>
                <c:pt idx="6">
                  <c:v>0.43675000000000003</c:v>
                </c:pt>
                <c:pt idx="7">
                  <c:v>0.50512999999999997</c:v>
                </c:pt>
                <c:pt idx="8">
                  <c:v>0.57240000000000002</c:v>
                </c:pt>
                <c:pt idx="9">
                  <c:v>0.63861000000000001</c:v>
                </c:pt>
                <c:pt idx="10">
                  <c:v>0.70381000000000005</c:v>
                </c:pt>
                <c:pt idx="11">
                  <c:v>0.76802000000000004</c:v>
                </c:pt>
                <c:pt idx="12">
                  <c:v>0.83128999999999997</c:v>
                </c:pt>
                <c:pt idx="13">
                  <c:v>0.89365000000000006</c:v>
                </c:pt>
                <c:pt idx="14">
                  <c:v>0.95513000000000003</c:v>
                </c:pt>
                <c:pt idx="15" formatCode="General">
                  <c:v>1.0158</c:v>
                </c:pt>
                <c:pt idx="16" formatCode="General">
                  <c:v>1.0755999999999999</c:v>
                </c:pt>
                <c:pt idx="17" formatCode="General">
                  <c:v>1.1346000000000001</c:v>
                </c:pt>
                <c:pt idx="18" formatCode="General">
                  <c:v>1.1929000000000001</c:v>
                </c:pt>
                <c:pt idx="19" formatCode="General">
                  <c:v>1.2504</c:v>
                </c:pt>
                <c:pt idx="20" formatCode="General">
                  <c:v>1.3071999999999999</c:v>
                </c:pt>
                <c:pt idx="21" formatCode="General">
                  <c:v>1.4188000000000001</c:v>
                </c:pt>
                <c:pt idx="22" formatCode="General">
                  <c:v>1.5279</c:v>
                </c:pt>
                <c:pt idx="23" formatCode="General">
                  <c:v>1.6346000000000001</c:v>
                </c:pt>
                <c:pt idx="24" formatCode="General">
                  <c:v>1.7392000000000001</c:v>
                </c:pt>
                <c:pt idx="25" formatCode="General">
                  <c:v>1.8418000000000001</c:v>
                </c:pt>
                <c:pt idx="26" formatCode="General">
                  <c:v>1.9426000000000001</c:v>
                </c:pt>
                <c:pt idx="27" formatCode="General">
                  <c:v>2.0417000000000001</c:v>
                </c:pt>
                <c:pt idx="28" formatCode="General">
                  <c:v>2.1392000000000002</c:v>
                </c:pt>
                <c:pt idx="29" formatCode="General">
                  <c:v>2.2355</c:v>
                </c:pt>
                <c:pt idx="30" formatCode="General">
                  <c:v>2.3304999999999998</c:v>
                </c:pt>
                <c:pt idx="31" formatCode="General">
                  <c:v>2.4245000000000001</c:v>
                </c:pt>
                <c:pt idx="32" formatCode="General">
                  <c:v>2.5177</c:v>
                </c:pt>
                <c:pt idx="33" formatCode="General">
                  <c:v>2.6101000000000001</c:v>
                </c:pt>
                <c:pt idx="34">
                  <c:v>2.702</c:v>
                </c:pt>
                <c:pt idx="35" formatCode="General">
                  <c:v>2.7934999999999999</c:v>
                </c:pt>
                <c:pt idx="36" formatCode="General">
                  <c:v>2.8849</c:v>
                </c:pt>
                <c:pt idx="37" formatCode="General">
                  <c:v>2.9765000000000001</c:v>
                </c:pt>
                <c:pt idx="38" formatCode="General">
                  <c:v>3.0684999999999998</c:v>
                </c:pt>
                <c:pt idx="39" formatCode="General">
                  <c:v>3.1612</c:v>
                </c:pt>
                <c:pt idx="40" formatCode="General">
                  <c:v>3.2551999999999999</c:v>
                </c:pt>
                <c:pt idx="41">
                  <c:v>3.351</c:v>
                </c:pt>
                <c:pt idx="42" formatCode="General">
                  <c:v>3.4493999999999998</c:v>
                </c:pt>
                <c:pt idx="43" formatCode="General">
                  <c:v>3.5518000000000001</c:v>
                </c:pt>
                <c:pt idx="44" formatCode="General">
                  <c:v>3.6600999999999999</c:v>
                </c:pt>
                <c:pt idx="45" formatCode="General">
                  <c:v>3.7784</c:v>
                </c:pt>
                <c:pt idx="46" formatCode="General">
                  <c:v>3.9167000000000001</c:v>
                </c:pt>
                <c:pt idx="47" formatCode="General">
                  <c:v>4.1112000000000002</c:v>
                </c:pt>
                <c:pt idx="48">
                  <c:v>4.407</c:v>
                </c:pt>
              </c:numCache>
            </c:numRef>
          </c:xVal>
          <c:yVal>
            <c:numRef>
              <c:f>'Temp. steam table'!$A$2:$A$50</c:f>
              <c:numCache>
                <c:formatCode>General</c:formatCode>
                <c:ptCount val="49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373.95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A9F-40C7-936C-69344815BC51}"/>
            </c:ext>
          </c:extLst>
        </c:ser>
        <c:ser>
          <c:idx val="1"/>
          <c:order val="1"/>
          <c:tx>
            <c:strRef>
              <c:f>'Temp. steam table'!$L$1</c:f>
              <c:strCache>
                <c:ptCount val="1"/>
                <c:pt idx="0">
                  <c:v>sg entropy (kJ/kg.K)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'Temp. steam table'!$L$2:$L$50</c:f>
              <c:numCache>
                <c:formatCode>General</c:formatCode>
                <c:ptCount val="49"/>
                <c:pt idx="0">
                  <c:v>9.1555</c:v>
                </c:pt>
                <c:pt idx="1">
                  <c:v>9.0248000000000008</c:v>
                </c:pt>
                <c:pt idx="2">
                  <c:v>8.8998000000000008</c:v>
                </c:pt>
                <c:pt idx="3">
                  <c:v>8.7803000000000004</c:v>
                </c:pt>
                <c:pt idx="4" formatCode="0.0000">
                  <c:v>8.6660000000000004</c:v>
                </c:pt>
                <c:pt idx="5">
                  <c:v>8.5565999999999995</c:v>
                </c:pt>
                <c:pt idx="6" formatCode="0.0000">
                  <c:v>8.452</c:v>
                </c:pt>
                <c:pt idx="7">
                  <c:v>8.3516999999999992</c:v>
                </c:pt>
                <c:pt idx="8">
                  <c:v>8.2554999999999996</c:v>
                </c:pt>
                <c:pt idx="9">
                  <c:v>8.1632999999999996</c:v>
                </c:pt>
                <c:pt idx="10">
                  <c:v>8.0747999999999998</c:v>
                </c:pt>
                <c:pt idx="11">
                  <c:v>7.9897999999999998</c:v>
                </c:pt>
                <c:pt idx="12">
                  <c:v>7.9081000000000001</c:v>
                </c:pt>
                <c:pt idx="13">
                  <c:v>7.8296000000000001</c:v>
                </c:pt>
                <c:pt idx="14" formatCode="0.0000">
                  <c:v>7.7539999999999996</c:v>
                </c:pt>
                <c:pt idx="15">
                  <c:v>7.6811999999999996</c:v>
                </c:pt>
                <c:pt idx="16">
                  <c:v>7.6111000000000004</c:v>
                </c:pt>
                <c:pt idx="17">
                  <c:v>7.5434000000000001</c:v>
                </c:pt>
                <c:pt idx="18">
                  <c:v>7.4781000000000004</c:v>
                </c:pt>
                <c:pt idx="19">
                  <c:v>7.4150999999999998</c:v>
                </c:pt>
                <c:pt idx="20">
                  <c:v>7.3540999999999999</c:v>
                </c:pt>
                <c:pt idx="21">
                  <c:v>7.2381000000000002</c:v>
                </c:pt>
                <c:pt idx="22">
                  <c:v>7.1291000000000002</c:v>
                </c:pt>
                <c:pt idx="23">
                  <c:v>7.0263999999999998</c:v>
                </c:pt>
                <c:pt idx="24">
                  <c:v>6.9292999999999996</c:v>
                </c:pt>
                <c:pt idx="25">
                  <c:v>6.8371000000000004</c:v>
                </c:pt>
                <c:pt idx="26">
                  <c:v>6.7491000000000003</c:v>
                </c:pt>
                <c:pt idx="27" formatCode="0.0000">
                  <c:v>6.665</c:v>
                </c:pt>
                <c:pt idx="28" formatCode="0.0000">
                  <c:v>6.5839999999999996</c:v>
                </c:pt>
                <c:pt idx="29">
                  <c:v>6.5058999999999996</c:v>
                </c:pt>
                <c:pt idx="30">
                  <c:v>6.4302000000000001</c:v>
                </c:pt>
                <c:pt idx="31">
                  <c:v>6.3563000000000001</c:v>
                </c:pt>
                <c:pt idx="32" formatCode="0.0000">
                  <c:v>6.2839999999999998</c:v>
                </c:pt>
                <c:pt idx="33">
                  <c:v>6.2127999999999997</c:v>
                </c:pt>
                <c:pt idx="34">
                  <c:v>6.1422999999999996</c:v>
                </c:pt>
                <c:pt idx="35">
                  <c:v>6.0720999999999998</c:v>
                </c:pt>
                <c:pt idx="36">
                  <c:v>6.0015999999999998</c:v>
                </c:pt>
                <c:pt idx="37">
                  <c:v>5.9303999999999997</c:v>
                </c:pt>
                <c:pt idx="38">
                  <c:v>5.8578999999999999</c:v>
                </c:pt>
                <c:pt idx="39">
                  <c:v>5.7834000000000003</c:v>
                </c:pt>
                <c:pt idx="40">
                  <c:v>5.7058999999999997</c:v>
                </c:pt>
                <c:pt idx="41">
                  <c:v>5.6243999999999996</c:v>
                </c:pt>
                <c:pt idx="42">
                  <c:v>5.5372000000000003</c:v>
                </c:pt>
                <c:pt idx="43">
                  <c:v>5.4421999999999997</c:v>
                </c:pt>
                <c:pt idx="44">
                  <c:v>5.3356000000000003</c:v>
                </c:pt>
                <c:pt idx="45" formatCode="0.0000">
                  <c:v>5.2110000000000003</c:v>
                </c:pt>
                <c:pt idx="46">
                  <c:v>5.0536000000000003</c:v>
                </c:pt>
                <c:pt idx="47">
                  <c:v>4.8011999999999997</c:v>
                </c:pt>
                <c:pt idx="48" formatCode="0.0000">
                  <c:v>4.407</c:v>
                </c:pt>
              </c:numCache>
            </c:numRef>
          </c:xVal>
          <c:yVal>
            <c:numRef>
              <c:f>'Temp. steam table'!$A$2:$A$50</c:f>
              <c:numCache>
                <c:formatCode>General</c:formatCode>
                <c:ptCount val="49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373.95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A9F-40C7-936C-69344815BC51}"/>
            </c:ext>
          </c:extLst>
        </c:ser>
        <c:ser>
          <c:idx val="2"/>
          <c:order val="2"/>
          <c:tx>
            <c:v>liq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tx1">
                  <a:alpha val="99000"/>
                </a:schemeClr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'Temp. steam table'!$N$35</c:f>
              <c:numCache>
                <c:formatCode>General</c:formatCode>
                <c:ptCount val="1"/>
                <c:pt idx="0">
                  <c:v>0.29648000000000002</c:v>
                </c:pt>
              </c:numCache>
            </c:numRef>
          </c:xVal>
          <c:yVal>
            <c:numRef>
              <c:f>'Temp. steam table'!$N$34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A9F-40C7-936C-69344815BC51}"/>
            </c:ext>
          </c:extLst>
        </c:ser>
        <c:ser>
          <c:idx val="3"/>
          <c:order val="3"/>
          <c:tx>
            <c:v>vap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'Temp. steam table'!$N$37</c:f>
              <c:numCache>
                <c:formatCode>General</c:formatCode>
                <c:ptCount val="1"/>
                <c:pt idx="0">
                  <c:v>8.6660000000000004</c:v>
                </c:pt>
              </c:numCache>
            </c:numRef>
          </c:xVal>
          <c:yVal>
            <c:numRef>
              <c:f>'Temp. steam table'!$N$36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A9F-40C7-936C-69344815BC51}"/>
            </c:ext>
          </c:extLst>
        </c:ser>
        <c:ser>
          <c:idx val="4"/>
          <c:order val="4"/>
          <c:tx>
            <c:v>tot</c:v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8.1726626112422845E-2"/>
                  <c:y val="-0.22140995808638114"/>
                </c:manualLayout>
              </c:layout>
              <c:numFmt formatCode="0.000000\ &quot;kJ/kg.K&quot;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294242682308294"/>
                      <c:h val="8.999717768913922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A-4A9F-40C7-936C-69344815BC51}"/>
                </c:ext>
              </c:extLst>
            </c:dLbl>
            <c:numFmt formatCode="0.000000\ &quot;kJ/kg.K&quot;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'Temp. steam table'!$N$39</c:f>
              <c:numCache>
                <c:formatCode>General</c:formatCode>
                <c:ptCount val="1"/>
                <c:pt idx="0">
                  <c:v>0.29648000000000002</c:v>
                </c:pt>
              </c:numCache>
            </c:numRef>
          </c:xVal>
          <c:yVal>
            <c:numRef>
              <c:f>'Temp. steam table'!$N$38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A9F-40C7-936C-69344815B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24864"/>
        <c:axId val="525917648"/>
      </c:scatterChart>
      <c:valAx>
        <c:axId val="525924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Entropia</a:t>
                </a:r>
                <a:r>
                  <a:rPr lang="pt-BR" baseline="0"/>
                  <a:t> específica (kJ/kg.K)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5917648"/>
        <c:crosses val="autoZero"/>
        <c:crossBetween val="midCat"/>
      </c:valAx>
      <c:valAx>
        <c:axId val="5259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Temperatura (oC)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592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Pressão vs. volume específico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'Pres. steam table'!$C$1</c:f>
              <c:strCache>
                <c:ptCount val="1"/>
                <c:pt idx="0">
                  <c:v>vf volume (m^3/kg)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'Pres. steam table'!$C$2:$C$48</c:f>
              <c:numCache>
                <c:formatCode>0.000000</c:formatCode>
                <c:ptCount val="47"/>
                <c:pt idx="0">
                  <c:v>1.0001000000000001E-3</c:v>
                </c:pt>
                <c:pt idx="1">
                  <c:v>1.0003E-3</c:v>
                </c:pt>
                <c:pt idx="2">
                  <c:v>1.0005000000000001E-3</c:v>
                </c:pt>
                <c:pt idx="3">
                  <c:v>1.0008E-3</c:v>
                </c:pt>
                <c:pt idx="4">
                  <c:v>1.0011E-3</c:v>
                </c:pt>
                <c:pt idx="5">
                  <c:v>1.0013999999999999E-3</c:v>
                </c:pt>
                <c:pt idx="6">
                  <c:v>1.0028000000000001E-3</c:v>
                </c:pt>
                <c:pt idx="7">
                  <c:v>1.0041E-3</c:v>
                </c:pt>
                <c:pt idx="8">
                  <c:v>1.0065E-3</c:v>
                </c:pt>
                <c:pt idx="9">
                  <c:v>1.0085000000000001E-3</c:v>
                </c:pt>
                <c:pt idx="10">
                  <c:v>1.0103E-3</c:v>
                </c:pt>
                <c:pt idx="11">
                  <c:v>1.0119E-3</c:v>
                </c:pt>
                <c:pt idx="12">
                  <c:v>1.0134E-3</c:v>
                </c:pt>
                <c:pt idx="13">
                  <c:v>1.0147000000000001E-3</c:v>
                </c:pt>
                <c:pt idx="14">
                  <c:v>1.016E-3</c:v>
                </c:pt>
                <c:pt idx="15">
                  <c:v>1.0172E-3</c:v>
                </c:pt>
                <c:pt idx="16">
                  <c:v>1.0222E-3</c:v>
                </c:pt>
                <c:pt idx="17">
                  <c:v>1.0264E-3</c:v>
                </c:pt>
                <c:pt idx="18">
                  <c:v>1.0330999999999999E-3</c:v>
                </c:pt>
                <c:pt idx="19">
                  <c:v>1.0384999999999999E-3</c:v>
                </c:pt>
                <c:pt idx="20">
                  <c:v>1.0432E-3</c:v>
                </c:pt>
                <c:pt idx="21">
                  <c:v>1.0472999999999999E-3</c:v>
                </c:pt>
                <c:pt idx="22">
                  <c:v>1.0510000000000001E-3</c:v>
                </c:pt>
                <c:pt idx="23">
                  <c:v>1.0544E-3</c:v>
                </c:pt>
                <c:pt idx="24">
                  <c:v>1.0575999999999999E-3</c:v>
                </c:pt>
                <c:pt idx="25">
                  <c:v>1.0605E-3</c:v>
                </c:pt>
                <c:pt idx="26">
                  <c:v>1.0732000000000001E-3</c:v>
                </c:pt>
                <c:pt idx="27">
                  <c:v>1.0836000000000001E-3</c:v>
                </c:pt>
                <c:pt idx="28">
                  <c:v>1.1006E-3</c:v>
                </c:pt>
                <c:pt idx="29">
                  <c:v>1.1148E-3</c:v>
                </c:pt>
                <c:pt idx="30">
                  <c:v>1.1272000000000001E-3</c:v>
                </c:pt>
                <c:pt idx="31">
                  <c:v>1.1385E-3</c:v>
                </c:pt>
                <c:pt idx="32">
                  <c:v>1.1489E-3</c:v>
                </c:pt>
                <c:pt idx="33">
                  <c:v>1.1586999999999999E-3</c:v>
                </c:pt>
                <c:pt idx="34">
                  <c:v>1.1678999999999999E-3</c:v>
                </c:pt>
                <c:pt idx="35">
                  <c:v>1.1766999999999999E-3</c:v>
                </c:pt>
                <c:pt idx="36">
                  <c:v>1.2167E-3</c:v>
                </c:pt>
                <c:pt idx="37">
                  <c:v>1.2526E-3</c:v>
                </c:pt>
                <c:pt idx="38">
                  <c:v>1.3193E-3</c:v>
                </c:pt>
                <c:pt idx="39">
                  <c:v>1.3847E-3</c:v>
                </c:pt>
                <c:pt idx="40">
                  <c:v>1.4526000000000001E-3</c:v>
                </c:pt>
                <c:pt idx="41">
                  <c:v>1.5263E-3</c:v>
                </c:pt>
                <c:pt idx="42">
                  <c:v>1.6096999999999999E-3</c:v>
                </c:pt>
                <c:pt idx="43">
                  <c:v>1.7094E-3</c:v>
                </c:pt>
                <c:pt idx="44">
                  <c:v>1.8397999999999999E-3</c:v>
                </c:pt>
                <c:pt idx="45">
                  <c:v>2.0400000000000001E-3</c:v>
                </c:pt>
                <c:pt idx="46">
                  <c:v>3.1056E-3</c:v>
                </c:pt>
              </c:numCache>
            </c:numRef>
          </c:xVal>
          <c:yVal>
            <c:numRef>
              <c:f>'Pres. steam table'!$A$2:$A$48</c:f>
              <c:numCache>
                <c:formatCode>General</c:formatCode>
                <c:ptCount val="47"/>
                <c:pt idx="0">
                  <c:v>1E-3</c:v>
                </c:pt>
                <c:pt idx="1">
                  <c:v>1.1999999999999999E-3</c:v>
                </c:pt>
                <c:pt idx="2">
                  <c:v>1.4E-3</c:v>
                </c:pt>
                <c:pt idx="3">
                  <c:v>1.6000000000000001E-3</c:v>
                </c:pt>
                <c:pt idx="4">
                  <c:v>1.8E-3</c:v>
                </c:pt>
                <c:pt idx="5">
                  <c:v>2E-3</c:v>
                </c:pt>
                <c:pt idx="6">
                  <c:v>3.0000000000000001E-3</c:v>
                </c:pt>
                <c:pt idx="7">
                  <c:v>4.0000000000000001E-3</c:v>
                </c:pt>
                <c:pt idx="8">
                  <c:v>6.0000000000000001E-3</c:v>
                </c:pt>
                <c:pt idx="9">
                  <c:v>8.0000000000000002E-3</c:v>
                </c:pt>
                <c:pt idx="10">
                  <c:v>0.01</c:v>
                </c:pt>
                <c:pt idx="11">
                  <c:v>1.2E-2</c:v>
                </c:pt>
                <c:pt idx="12">
                  <c:v>1.4E-2</c:v>
                </c:pt>
                <c:pt idx="13">
                  <c:v>1.6E-2</c:v>
                </c:pt>
                <c:pt idx="14">
                  <c:v>1.7999999999999999E-2</c:v>
                </c:pt>
                <c:pt idx="15">
                  <c:v>0.02</c:v>
                </c:pt>
                <c:pt idx="16">
                  <c:v>0.03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0.2</c:v>
                </c:pt>
                <c:pt idx="26">
                  <c:v>0.3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6</c:v>
                </c:pt>
                <c:pt idx="39">
                  <c:v>8</c:v>
                </c:pt>
                <c:pt idx="40">
                  <c:v>10</c:v>
                </c:pt>
                <c:pt idx="41">
                  <c:v>12</c:v>
                </c:pt>
                <c:pt idx="42">
                  <c:v>14</c:v>
                </c:pt>
                <c:pt idx="43">
                  <c:v>16</c:v>
                </c:pt>
                <c:pt idx="44">
                  <c:v>18</c:v>
                </c:pt>
                <c:pt idx="45">
                  <c:v>20</c:v>
                </c:pt>
                <c:pt idx="46">
                  <c:v>22.064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C2-4698-878F-A35207FFA5D7}"/>
            </c:ext>
          </c:extLst>
        </c:ser>
        <c:ser>
          <c:idx val="1"/>
          <c:order val="1"/>
          <c:tx>
            <c:strRef>
              <c:f>'Pres. steam table'!$D$1</c:f>
              <c:strCache>
                <c:ptCount val="1"/>
                <c:pt idx="0">
                  <c:v>vg volume (m^3/kg)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'Pres. steam table'!$D$2:$D$48</c:f>
              <c:numCache>
                <c:formatCode>0.00</c:formatCode>
                <c:ptCount val="47"/>
                <c:pt idx="0">
                  <c:v>129.18</c:v>
                </c:pt>
                <c:pt idx="1">
                  <c:v>108.67</c:v>
                </c:pt>
                <c:pt idx="2">
                  <c:v>93.899000000000001</c:v>
                </c:pt>
                <c:pt idx="3">
                  <c:v>82.742999999999995</c:v>
                </c:pt>
                <c:pt idx="4">
                  <c:v>74.010999999999996</c:v>
                </c:pt>
                <c:pt idx="5">
                  <c:v>66.986999999999995</c:v>
                </c:pt>
                <c:pt idx="6">
                  <c:v>45.652999999999999</c:v>
                </c:pt>
                <c:pt idx="7">
                  <c:v>34.790999999999997</c:v>
                </c:pt>
                <c:pt idx="8">
                  <c:v>23.733000000000001</c:v>
                </c:pt>
                <c:pt idx="9">
                  <c:v>18.099</c:v>
                </c:pt>
                <c:pt idx="10">
                  <c:v>14.67</c:v>
                </c:pt>
                <c:pt idx="11" formatCode="0.000">
                  <c:v>12.358000000000001</c:v>
                </c:pt>
                <c:pt idx="12" formatCode="0.000">
                  <c:v>10.691000000000001</c:v>
                </c:pt>
                <c:pt idx="13" formatCode="0.000">
                  <c:v>9.4306000000000001</c:v>
                </c:pt>
                <c:pt idx="14" formatCode="0.000">
                  <c:v>8.4430999999999994</c:v>
                </c:pt>
                <c:pt idx="15" formatCode="0.000">
                  <c:v>7.6479999999999997</c:v>
                </c:pt>
                <c:pt idx="16" formatCode="0.000">
                  <c:v>5.2283999999999997</c:v>
                </c:pt>
                <c:pt idx="17" formatCode="0.000">
                  <c:v>3.9929999999999999</c:v>
                </c:pt>
                <c:pt idx="18" formatCode="0.000">
                  <c:v>2.7317</c:v>
                </c:pt>
                <c:pt idx="19" formatCode="0.000">
                  <c:v>2.0871</c:v>
                </c:pt>
                <c:pt idx="20" formatCode="0.000">
                  <c:v>1.6939</c:v>
                </c:pt>
                <c:pt idx="21" formatCode="0.000">
                  <c:v>1.4283999999999999</c:v>
                </c:pt>
                <c:pt idx="22" formatCode="0.0000">
                  <c:v>1.2365999999999999</c:v>
                </c:pt>
                <c:pt idx="23" formatCode="0.0000">
                  <c:v>1.0913999999999999</c:v>
                </c:pt>
                <c:pt idx="24" formatCode="0.0000">
                  <c:v>0.97746999999999995</c:v>
                </c:pt>
                <c:pt idx="25" formatCode="0.0000">
                  <c:v>0.88568000000000002</c:v>
                </c:pt>
                <c:pt idx="26" formatCode="0.0000">
                  <c:v>0.60575999999999997</c:v>
                </c:pt>
                <c:pt idx="27" formatCode="0.0000">
                  <c:v>0.46238000000000001</c:v>
                </c:pt>
                <c:pt idx="28" formatCode="0.0000">
                  <c:v>0.31558000000000003</c:v>
                </c:pt>
                <c:pt idx="29" formatCode="0.0000">
                  <c:v>0.24034</c:v>
                </c:pt>
                <c:pt idx="30" formatCode="0.0000">
                  <c:v>0.19436</c:v>
                </c:pt>
                <c:pt idx="31" formatCode="0.0000">
                  <c:v>0.16325999999999999</c:v>
                </c:pt>
                <c:pt idx="32" formatCode="0.00000">
                  <c:v>0.14077999999999999</c:v>
                </c:pt>
                <c:pt idx="33" formatCode="0.00000">
                  <c:v>0.12374</c:v>
                </c:pt>
                <c:pt idx="34" formatCode="0.00000">
                  <c:v>0.11037</c:v>
                </c:pt>
                <c:pt idx="35" formatCode="0.00000">
                  <c:v>9.9585000000000007E-2</c:v>
                </c:pt>
                <c:pt idx="36" formatCode="0.00000">
                  <c:v>6.6664000000000001E-2</c:v>
                </c:pt>
                <c:pt idx="37" formatCode="0.00000">
                  <c:v>4.9776000000000001E-2</c:v>
                </c:pt>
                <c:pt idx="38" formatCode="0.00000">
                  <c:v>3.2447999999999998E-2</c:v>
                </c:pt>
                <c:pt idx="39" formatCode="0.00000">
                  <c:v>2.3525999999999998E-2</c:v>
                </c:pt>
                <c:pt idx="40" formatCode="0.00000">
                  <c:v>1.8030000000000001E-2</c:v>
                </c:pt>
                <c:pt idx="41" formatCode="0.00000">
                  <c:v>1.4264000000000001E-2</c:v>
                </c:pt>
                <c:pt idx="42" formatCode="0.00000">
                  <c:v>1.1485E-2</c:v>
                </c:pt>
                <c:pt idx="43" formatCode="0.00000">
                  <c:v>9.3088000000000008E-3</c:v>
                </c:pt>
                <c:pt idx="44" formatCode="0.00000">
                  <c:v>7.5017E-3</c:v>
                </c:pt>
                <c:pt idx="45" formatCode="0.000000">
                  <c:v>5.8652000000000001E-3</c:v>
                </c:pt>
                <c:pt idx="46" formatCode="0.000000">
                  <c:v>3.1056E-3</c:v>
                </c:pt>
              </c:numCache>
            </c:numRef>
          </c:xVal>
          <c:yVal>
            <c:numRef>
              <c:f>'Pres. steam table'!$A$2:$A$48</c:f>
              <c:numCache>
                <c:formatCode>General</c:formatCode>
                <c:ptCount val="47"/>
                <c:pt idx="0">
                  <c:v>1E-3</c:v>
                </c:pt>
                <c:pt idx="1">
                  <c:v>1.1999999999999999E-3</c:v>
                </c:pt>
                <c:pt idx="2">
                  <c:v>1.4E-3</c:v>
                </c:pt>
                <c:pt idx="3">
                  <c:v>1.6000000000000001E-3</c:v>
                </c:pt>
                <c:pt idx="4">
                  <c:v>1.8E-3</c:v>
                </c:pt>
                <c:pt idx="5">
                  <c:v>2E-3</c:v>
                </c:pt>
                <c:pt idx="6">
                  <c:v>3.0000000000000001E-3</c:v>
                </c:pt>
                <c:pt idx="7">
                  <c:v>4.0000000000000001E-3</c:v>
                </c:pt>
                <c:pt idx="8">
                  <c:v>6.0000000000000001E-3</c:v>
                </c:pt>
                <c:pt idx="9">
                  <c:v>8.0000000000000002E-3</c:v>
                </c:pt>
                <c:pt idx="10">
                  <c:v>0.01</c:v>
                </c:pt>
                <c:pt idx="11">
                  <c:v>1.2E-2</c:v>
                </c:pt>
                <c:pt idx="12">
                  <c:v>1.4E-2</c:v>
                </c:pt>
                <c:pt idx="13">
                  <c:v>1.6E-2</c:v>
                </c:pt>
                <c:pt idx="14">
                  <c:v>1.7999999999999999E-2</c:v>
                </c:pt>
                <c:pt idx="15">
                  <c:v>0.02</c:v>
                </c:pt>
                <c:pt idx="16">
                  <c:v>0.03</c:v>
                </c:pt>
                <c:pt idx="17">
                  <c:v>0.04</c:v>
                </c:pt>
                <c:pt idx="18">
                  <c:v>0.06</c:v>
                </c:pt>
                <c:pt idx="19">
                  <c:v>0.08</c:v>
                </c:pt>
                <c:pt idx="20">
                  <c:v>0.1</c:v>
                </c:pt>
                <c:pt idx="21">
                  <c:v>0.12</c:v>
                </c:pt>
                <c:pt idx="22">
                  <c:v>0.14000000000000001</c:v>
                </c:pt>
                <c:pt idx="23">
                  <c:v>0.16</c:v>
                </c:pt>
                <c:pt idx="24">
                  <c:v>0.18</c:v>
                </c:pt>
                <c:pt idx="25">
                  <c:v>0.2</c:v>
                </c:pt>
                <c:pt idx="26">
                  <c:v>0.3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6</c:v>
                </c:pt>
                <c:pt idx="39">
                  <c:v>8</c:v>
                </c:pt>
                <c:pt idx="40">
                  <c:v>10</c:v>
                </c:pt>
                <c:pt idx="41">
                  <c:v>12</c:v>
                </c:pt>
                <c:pt idx="42">
                  <c:v>14</c:v>
                </c:pt>
                <c:pt idx="43">
                  <c:v>16</c:v>
                </c:pt>
                <c:pt idx="44">
                  <c:v>18</c:v>
                </c:pt>
                <c:pt idx="45">
                  <c:v>20</c:v>
                </c:pt>
                <c:pt idx="46">
                  <c:v>22.064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C2-4698-878F-A35207FFA5D7}"/>
            </c:ext>
          </c:extLst>
        </c:ser>
        <c:ser>
          <c:idx val="2"/>
          <c:order val="2"/>
          <c:tx>
            <c:v>vl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50800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dPt>
            <c:idx val="0"/>
            <c:marker>
              <c:symbol val="square"/>
              <c:size val="6"/>
              <c:spPr>
                <a:solidFill>
                  <a:schemeClr val="accent1">
                    <a:lumMod val="75000"/>
                  </a:schemeClr>
                </a:solidFill>
                <a:ln w="50800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A17-4EB3-87F7-26F6CF347397}"/>
              </c:ext>
            </c:extLst>
          </c:dPt>
          <c:xVal>
            <c:numRef>
              <c:f>'Pres. steam table'!$N$29</c:f>
              <c:numCache>
                <c:formatCode>General</c:formatCode>
                <c:ptCount val="1"/>
                <c:pt idx="0">
                  <c:v>1.3847E-3</c:v>
                </c:pt>
              </c:numCache>
            </c:numRef>
          </c:xVal>
          <c:yVal>
            <c:numRef>
              <c:f>'Pres. steam table'!$N$28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A17-4EB3-87F7-26F6CF347397}"/>
            </c:ext>
          </c:extLst>
        </c:ser>
        <c:ser>
          <c:idx val="3"/>
          <c:order val="3"/>
          <c:tx>
            <c:v>vg</c:v>
          </c:tx>
          <c:spPr>
            <a:ln w="9525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50800">
                <a:noFill/>
                <a:round/>
              </a:ln>
              <a:effectLst/>
            </c:spPr>
          </c:marker>
          <c:xVal>
            <c:numRef>
              <c:f>'Pres. steam table'!$N$27</c:f>
              <c:numCache>
                <c:formatCode>General</c:formatCode>
                <c:ptCount val="1"/>
                <c:pt idx="0">
                  <c:v>2.3525999999999998E-2</c:v>
                </c:pt>
              </c:numCache>
            </c:numRef>
          </c:xVal>
          <c:yVal>
            <c:numRef>
              <c:f>'Pres. steam table'!$N$26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A17-4EB3-87F7-26F6CF347397}"/>
            </c:ext>
          </c:extLst>
        </c:ser>
        <c:ser>
          <c:idx val="4"/>
          <c:order val="4"/>
          <c:tx>
            <c:v>v</c:v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50800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2.9666252325413717E-2"/>
                  <c:y val="-0.1490196078431373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A-4BD2-A8B9-D2B4899F53FB}"/>
                </c:ext>
              </c:extLst>
            </c:dLbl>
            <c:numFmt formatCode="0.000000\ &quot;m^3/kg&quot;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'Pres. steam table'!$N$31</c:f>
              <c:numCache>
                <c:formatCode>General</c:formatCode>
                <c:ptCount val="1"/>
                <c:pt idx="0">
                  <c:v>1.1348285E-2</c:v>
                </c:pt>
              </c:numCache>
            </c:numRef>
          </c:xVal>
          <c:yVal>
            <c:numRef>
              <c:f>'Pres. steam table'!$N$30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A17-4EB3-87F7-26F6CF34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35904"/>
        <c:axId val="477429016"/>
      </c:scatterChart>
      <c:valAx>
        <c:axId val="477435904"/>
        <c:scaling>
          <c:orientation val="minMax"/>
          <c:max val="5.000000000000001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Volume específico (m^3/kg)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429016"/>
        <c:crosses val="autoZero"/>
        <c:crossBetween val="midCat"/>
      </c:valAx>
      <c:valAx>
        <c:axId val="47742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Pressão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43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12</xdr:row>
      <xdr:rowOff>1</xdr:rowOff>
    </xdr:from>
    <xdr:to>
      <xdr:col>19</xdr:col>
      <xdr:colOff>0</xdr:colOff>
      <xdr:row>18</xdr:row>
      <xdr:rowOff>0</xdr:rowOff>
    </xdr:to>
    <xdr:sp macro="[0]!antoine" textlink="">
      <xdr:nvSpPr>
        <xdr:cNvPr id="2" name="Rectangle 1">
          <a:extLst>
            <a:ext uri="{FF2B5EF4-FFF2-40B4-BE49-F238E27FC236}">
              <a16:creationId xmlns:a16="http://schemas.microsoft.com/office/drawing/2014/main" id="{085B12BC-7328-480C-BC68-7698AC75B745}"/>
            </a:ext>
          </a:extLst>
        </xdr:cNvPr>
        <xdr:cNvSpPr/>
      </xdr:nvSpPr>
      <xdr:spPr>
        <a:xfrm>
          <a:off x="8576235" y="2241177"/>
          <a:ext cx="3062941" cy="11205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" panose="020B0502040204020203" pitchFamily="34" charset="0"/>
            </a:rPr>
            <a:t>Iniciar aplicação</a:t>
          </a:r>
        </a:p>
      </xdr:txBody>
    </xdr:sp>
    <xdr:clientData/>
  </xdr:twoCellAnchor>
  <xdr:twoCellAnchor editAs="oneCell">
    <xdr:from>
      <xdr:col>18</xdr:col>
      <xdr:colOff>310777</xdr:colOff>
      <xdr:row>4</xdr:row>
      <xdr:rowOff>67236</xdr:rowOff>
    </xdr:from>
    <xdr:to>
      <xdr:col>20</xdr:col>
      <xdr:colOff>0</xdr:colOff>
      <xdr:row>9</xdr:row>
      <xdr:rowOff>25867</xdr:rowOff>
    </xdr:to>
    <xdr:pic>
      <xdr:nvPicPr>
        <xdr:cNvPr id="5" name="Graphic 4" descr="Scientist">
          <a:extLst>
            <a:ext uri="{FF2B5EF4-FFF2-40B4-BE49-F238E27FC236}">
              <a16:creationId xmlns:a16="http://schemas.microsoft.com/office/drawing/2014/main" id="{AD85B93F-E410-4B7D-A7D7-6332EEEC6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37365" y="82176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19</xdr:col>
      <xdr:colOff>564777</xdr:colOff>
      <xdr:row>6</xdr:row>
      <xdr:rowOff>33897</xdr:rowOff>
    </xdr:from>
    <xdr:to>
      <xdr:col>21</xdr:col>
      <xdr:colOff>254000</xdr:colOff>
      <xdr:row>11</xdr:row>
      <xdr:rowOff>7937</xdr:rowOff>
    </xdr:to>
    <xdr:pic>
      <xdr:nvPicPr>
        <xdr:cNvPr id="7" name="Graphic 6" descr="Beaker">
          <a:extLst>
            <a:ext uri="{FF2B5EF4-FFF2-40B4-BE49-F238E27FC236}">
              <a16:creationId xmlns:a16="http://schemas.microsoft.com/office/drawing/2014/main" id="{EE2113E0-F63B-4EDA-962F-9E0969EA0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177340" y="1153085"/>
          <a:ext cx="911598" cy="894790"/>
        </a:xfrm>
        <a:prstGeom prst="rect">
          <a:avLst/>
        </a:prstGeom>
      </xdr:spPr>
    </xdr:pic>
    <xdr:clientData/>
  </xdr:twoCellAnchor>
  <xdr:oneCellAnchor>
    <xdr:from>
      <xdr:col>12</xdr:col>
      <xdr:colOff>0</xdr:colOff>
      <xdr:row>7</xdr:row>
      <xdr:rowOff>176536</xdr:rowOff>
    </xdr:from>
    <xdr:ext cx="2104742" cy="347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D37AC4-44E4-46CF-A78B-03E434D85C3F}"/>
                </a:ext>
              </a:extLst>
            </xdr:cNvPr>
            <xdr:cNvSpPr txBox="1"/>
          </xdr:nvSpPr>
          <xdr:spPr>
            <a:xfrm>
              <a:off x="7334250" y="1478286"/>
              <a:ext cx="2104742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𝒍𝒏</m:t>
                    </m:r>
                    <m:d>
                      <m:dPr>
                        <m:ctrlP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</a:rPr>
                          <m:t>𝒑𝒔𝒂</m:t>
                        </m:r>
                        <m:sSub>
                          <m:sSub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</a:rPr>
                              <m:t>𝒕</m:t>
                            </m:r>
                          </m:e>
                          <m:sub>
                            <m:d>
                              <m:dPr>
                                <m:begChr m:val="["/>
                                <m:endChr m:val="]"/>
                                <m:ctrlP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srgbClr val="000000">
                                          <a:alpha val="40000"/>
                                        </a:srgb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srgbClr val="000000">
                                          <a:alpha val="40000"/>
                                        </a:srgb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𝒃𝒂𝒓</m:t>
                                </m:r>
                              </m:e>
                            </m:d>
                          </m:sub>
                        </m:sSub>
                      </m:e>
                    </m:d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= </m:t>
                    </m:r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𝑨</m:t>
                    </m:r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 −</m:t>
                    </m:r>
                    <m:f>
                      <m:fPr>
                        <m:ctrlP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</a:rPr>
                          <m:t>𝑩</m:t>
                        </m:r>
                      </m:num>
                      <m:den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[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𝑲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] + 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𝑪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srgbClr val="000000">
                                  <a:alpha val="40000"/>
                                </a:srgb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pt-BR" sz="11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D37AC4-44E4-46CF-A78B-03E434D85C3F}"/>
                </a:ext>
              </a:extLst>
            </xdr:cNvPr>
            <xdr:cNvSpPr txBox="1"/>
          </xdr:nvSpPr>
          <xdr:spPr>
            <a:xfrm>
              <a:off x="7334250" y="1478286"/>
              <a:ext cx="2104742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</a:rPr>
                <a:t>𝒍𝒏(𝒑𝒔𝒂𝒕_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srgbClr val="000000">
                        <a:alpha val="40000"/>
                      </a:srgbClr>
                    </a:outerShdw>
                  </a:effectLst>
                  <a:latin typeface="+mn-lt"/>
                  <a:ea typeface="+mn-ea"/>
                  <a:cs typeface="+mn-cs"/>
                </a:rPr>
                <a:t>[𝒃𝒂𝒓]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  <a:ea typeface="+mn-ea"/>
                  <a:cs typeface="+mn-cs"/>
                </a:rPr>
                <a:t>  )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</a:rPr>
                <a:t>= 𝑨 −𝑩/(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srgbClr val="000000">
                        <a:alpha val="40000"/>
                      </a:srgbClr>
                    </a:outerShdw>
                  </a:effectLst>
                  <a:latin typeface="+mn-lt"/>
                  <a:ea typeface="+mn-ea"/>
                  <a:cs typeface="+mn-cs"/>
                </a:rPr>
                <a:t>(𝑻[𝑲] + 𝑪)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pt-BR" sz="11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31750</xdr:colOff>
      <xdr:row>14</xdr:row>
      <xdr:rowOff>0</xdr:rowOff>
    </xdr:from>
    <xdr:ext cx="3302000" cy="5442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49A2FC9-FCE5-4410-8630-48CDC9463112}"/>
                </a:ext>
              </a:extLst>
            </xdr:cNvPr>
            <xdr:cNvSpPr txBox="1"/>
          </xdr:nvSpPr>
          <xdr:spPr>
            <a:xfrm>
              <a:off x="7175500" y="2603500"/>
              <a:ext cx="3302000" cy="54428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𝒗𝒂𝒓𝑯</m:t>
                    </m:r>
                    <m:r>
                      <a:rPr lang="pt-BR" sz="1100" b="1" i="1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𝑨𝑻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𝑩</m:t>
                            </m:r>
                            <m:sSup>
                              <m:sSupPr>
                                <m:ctrlP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𝑻</m:t>
                                </m:r>
                              </m:e>
                              <m:sup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p>
                          </m:num>
                          <m:den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den>
                        </m:f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𝑪</m:t>
                            </m:r>
                            <m:sSup>
                              <m:sSupPr>
                                <m:ctrlP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𝑻</m:t>
                                </m:r>
                              </m:e>
                              <m:sup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𝟑</m:t>
                                </m:r>
                              </m:sup>
                            </m:sSup>
                          </m:num>
                          <m:den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𝟑</m:t>
                            </m:r>
                          </m:den>
                        </m:f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𝑫</m:t>
                        </m:r>
                        <m:sSup>
                          <m:sSup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𝑻</m:t>
                            </m:r>
                          </m:e>
                          <m:sup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sup>
                        </m:sSup>
                        <m:r>
                          <a:rPr lang="pt-BR" sz="1100" b="1" i="1">
                            <a:solidFill>
                              <a:schemeClr val="bg1"/>
                            </a:solidFill>
                            <a:effectLst>
                              <a:outerShdw blurRad="50800" dist="38100" dir="5400000" algn="t" rotWithShape="0">
                                <a:prstClr val="black">
                                  <a:alpha val="40000"/>
                                </a:prstClr>
                              </a:outerShdw>
                            </a:effectLst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𝑬</m:t>
                            </m:r>
                            <m:sSup>
                              <m:sSupPr>
                                <m:ctrlP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𝑻</m:t>
                                </m:r>
                              </m:e>
                              <m:sup>
                                <m:r>
                                  <a:rPr lang="pt-BR" sz="1100" b="1" i="1">
                                    <a:solidFill>
                                      <a:schemeClr val="bg1"/>
                                    </a:solidFill>
                                    <a:effectLst>
                                      <a:outerShdw blurRad="50800" dist="38100" dir="5400000" algn="t" rotWithShape="0">
                                        <a:prstClr val="black">
                                          <a:alpha val="40000"/>
                                        </a:prstClr>
                                      </a:outerShdw>
                                    </a:effectLst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𝟒</m:t>
                                </m:r>
                              </m:sup>
                            </m:sSup>
                          </m:num>
                          <m:den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𝟒</m:t>
                            </m:r>
                          </m:den>
                        </m:f>
                        <m:nary>
                          <m:naryPr>
                            <m:ctrl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𝑻</m:t>
                            </m:r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𝒊𝒏𝒇</m:t>
                            </m:r>
                          </m:sub>
                          <m:sup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𝑻𝒔𝒖𝒑</m:t>
                            </m:r>
                          </m:sup>
                          <m:e>
                            <m:r>
                              <a:rPr lang="pt-BR" sz="1100" b="1" i="1">
                                <a:solidFill>
                                  <a:schemeClr val="bg1"/>
                                </a:solidFill>
                                <a:effectLst>
                                  <a:outerShdw blurRad="50800" dist="38100" dir="5400000" algn="t" rotWithShape="0">
                                    <a:prstClr val="black">
                                      <a:alpha val="40000"/>
                                    </a:prstClr>
                                  </a:outerShdw>
                                </a:effectLst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</m:nary>
                      </m:e>
                    </m:d>
                    <m:r>
                      <a:rPr lang="pt-BR" sz="1100" b="1" i="0">
                        <a:solidFill>
                          <a:schemeClr val="bg1"/>
                        </a:solidFill>
                        <a:effectLst>
                          <a:outerShdw blurRad="50800" dist="38100" dir="5400000" algn="t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𝐑</m:t>
                    </m:r>
                  </m:oMath>
                </m:oMathPara>
              </a14:m>
              <a:endParaRPr lang="pt-BR" sz="11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49A2FC9-FCE5-4410-8630-48CDC9463112}"/>
                </a:ext>
              </a:extLst>
            </xdr:cNvPr>
            <xdr:cNvSpPr txBox="1"/>
          </xdr:nvSpPr>
          <xdr:spPr>
            <a:xfrm>
              <a:off x="7175500" y="2603500"/>
              <a:ext cx="3302000" cy="54428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</a:rPr>
                <a:t>𝒗𝒂𝒓𝑯=</a:t>
              </a:r>
              <a:r>
                <a:rPr lang="pt-BR" sz="1100" b="1" i="0">
                  <a:solidFill>
                    <a:schemeClr val="bg1"/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ambria Math" panose="02040503050406030204" pitchFamily="18" charset="0"/>
                  <a:ea typeface="+mn-ea"/>
                  <a:cs typeface="+mn-cs"/>
                </a:rPr>
                <a:t>(𝑨𝑻+(𝑩𝑻^𝟐)/𝟐+(𝑪𝑻^𝟑)/𝟑−𝑫𝑻^(−𝟏)+(𝑬𝑻^𝟒)/𝟒 ∫_𝑻𝒊𝒏𝒇^𝑻𝒔𝒖𝒑▒ )𝐑</a:t>
              </a:r>
              <a:endParaRPr lang="pt-BR" sz="1100" b="1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mc:Fallback>
    </mc:AlternateContent>
    <xdr:clientData/>
  </xdr:oneCellAnchor>
  <xdr:twoCellAnchor editAs="oneCell">
    <xdr:from>
      <xdr:col>14</xdr:col>
      <xdr:colOff>580652</xdr:colOff>
      <xdr:row>12</xdr:row>
      <xdr:rowOff>119063</xdr:rowOff>
    </xdr:from>
    <xdr:to>
      <xdr:col>15</xdr:col>
      <xdr:colOff>809625</xdr:colOff>
      <xdr:row>17</xdr:row>
      <xdr:rowOff>101506</xdr:rowOff>
    </xdr:to>
    <xdr:pic>
      <xdr:nvPicPr>
        <xdr:cNvPr id="4" name="Graphic 3" descr="Scientist">
          <a:extLst>
            <a:ext uri="{FF2B5EF4-FFF2-40B4-BE49-F238E27FC236}">
              <a16:creationId xmlns:a16="http://schemas.microsoft.com/office/drawing/2014/main" id="{B6C171E1-0B40-4AAB-B863-584BF6CCD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91527" y="2349501"/>
          <a:ext cx="911598" cy="895256"/>
        </a:xfrm>
        <a:prstGeom prst="rect">
          <a:avLst/>
        </a:prstGeom>
      </xdr:spPr>
    </xdr:pic>
    <xdr:clientData/>
  </xdr:twoCellAnchor>
  <xdr:twoCellAnchor editAs="oneCell">
    <xdr:from>
      <xdr:col>15</xdr:col>
      <xdr:colOff>763215</xdr:colOff>
      <xdr:row>14</xdr:row>
      <xdr:rowOff>93662</xdr:rowOff>
    </xdr:from>
    <xdr:to>
      <xdr:col>17</xdr:col>
      <xdr:colOff>238126</xdr:colOff>
      <xdr:row>19</xdr:row>
      <xdr:rowOff>67702</xdr:rowOff>
    </xdr:to>
    <xdr:pic>
      <xdr:nvPicPr>
        <xdr:cNvPr id="5" name="Graphic 4" descr="Beaker">
          <a:extLst>
            <a:ext uri="{FF2B5EF4-FFF2-40B4-BE49-F238E27FC236}">
              <a16:creationId xmlns:a16="http://schemas.microsoft.com/office/drawing/2014/main" id="{B4EC6F80-388E-45FD-8879-D18633390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256715" y="2697162"/>
          <a:ext cx="911598" cy="894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7936</xdr:colOff>
      <xdr:row>10</xdr:row>
      <xdr:rowOff>58737</xdr:rowOff>
    </xdr:from>
    <xdr:to>
      <xdr:col>19</xdr:col>
      <xdr:colOff>1333499</xdr:colOff>
      <xdr:row>21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C50031-FAD8-4604-8B83-57354C1D3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7937</xdr:colOff>
      <xdr:row>21</xdr:row>
      <xdr:rowOff>198438</xdr:rowOff>
    </xdr:from>
    <xdr:to>
      <xdr:col>19</xdr:col>
      <xdr:colOff>1333499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C1D421-7D7A-4514-9FF9-DAD570CDF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0</xdr:rowOff>
    </xdr:from>
    <xdr:to>
      <xdr:col>21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061840-88AF-411A-9A04-1E5AEF23C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BBBB4-57A3-444A-9AE3-757778F24B6F}" name="Table1" displayName="Table1" ref="B1:B105" totalsRowShown="0" headerRowDxfId="5" dataDxfId="3" headerRowBorderDxfId="4" tableBorderDxfId="2" totalsRowBorderDxfId="1">
  <tableColumns count="1">
    <tableColumn id="1" xr3:uid="{4CD5D0C4-FBF4-4E8B-B8B2-A5C677376131}" name="N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ohio.edu/mechanical/thermo/property_tables/H2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hio.edu/mechanical/thermo/property_tables/H2O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ebbook.nist.gov/chemistr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15A67-3FE8-4FA6-9325-6E5B4FD3EF57}">
  <sheetPr codeName="Sheet1"/>
  <dimension ref="A1:X82"/>
  <sheetViews>
    <sheetView showGridLines="0" zoomScale="80" zoomScaleNormal="80" workbookViewId="0">
      <pane ySplit="1" topLeftCell="A2" activePane="bottomLeft" state="frozen"/>
      <selection pane="bottomLeft" activeCell="T22" sqref="T22"/>
    </sheetView>
  </sheetViews>
  <sheetFormatPr defaultRowHeight="14.5" x14ac:dyDescent="0.35"/>
  <cols>
    <col min="1" max="2" width="8.7265625" style="6"/>
    <col min="3" max="3" width="11.7265625" style="6" bestFit="1" customWidth="1"/>
    <col min="4" max="16384" width="8.7265625" style="6"/>
  </cols>
  <sheetData>
    <row r="1" spans="1:24" s="71" customFormat="1" ht="29.5" customHeight="1" thickBot="1" x14ac:dyDescent="0.4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3" t="s">
        <v>5</v>
      </c>
      <c r="G1" s="73" t="s">
        <v>6</v>
      </c>
      <c r="H1" s="73" t="s">
        <v>7</v>
      </c>
      <c r="I1" s="73" t="s">
        <v>8</v>
      </c>
      <c r="J1" s="73" t="s">
        <v>10</v>
      </c>
      <c r="K1" s="73" t="s">
        <v>9</v>
      </c>
      <c r="L1" s="139" t="s">
        <v>222</v>
      </c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</row>
    <row r="2" spans="1:24" s="7" customFormat="1" ht="14.5" customHeight="1" x14ac:dyDescent="0.35">
      <c r="A2" s="68" t="s">
        <v>11</v>
      </c>
      <c r="B2" s="69" t="s">
        <v>12</v>
      </c>
      <c r="C2" s="68">
        <v>30.026</v>
      </c>
      <c r="D2" s="68">
        <v>408</v>
      </c>
      <c r="E2" s="68">
        <v>65.86</v>
      </c>
      <c r="F2" s="68">
        <v>0.253</v>
      </c>
      <c r="G2" s="68">
        <v>9.8573000000000004</v>
      </c>
      <c r="H2" s="68">
        <v>2204.13</v>
      </c>
      <c r="I2" s="68">
        <v>30.15</v>
      </c>
      <c r="J2" s="68">
        <v>185</v>
      </c>
      <c r="K2" s="68">
        <v>271</v>
      </c>
      <c r="L2" s="70"/>
      <c r="M2" s="70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s="7" customFormat="1" x14ac:dyDescent="0.35">
      <c r="A3" s="28" t="s">
        <v>13</v>
      </c>
      <c r="B3" s="8" t="s">
        <v>14</v>
      </c>
      <c r="C3" s="28">
        <v>16.042000000000002</v>
      </c>
      <c r="D3" s="28">
        <v>190.6</v>
      </c>
      <c r="E3" s="28">
        <v>46</v>
      </c>
      <c r="F3" s="28">
        <v>8.0000000000000002E-3</v>
      </c>
      <c r="G3" s="28">
        <v>8.6041000000000007</v>
      </c>
      <c r="H3" s="28">
        <v>897.84</v>
      </c>
      <c r="I3" s="28">
        <v>7.16</v>
      </c>
      <c r="J3" s="28">
        <v>93</v>
      </c>
      <c r="K3" s="28">
        <v>120</v>
      </c>
    </row>
    <row r="4" spans="1:24" x14ac:dyDescent="0.35">
      <c r="A4" s="68" t="s">
        <v>15</v>
      </c>
      <c r="B4" s="69" t="s">
        <v>16</v>
      </c>
      <c r="C4" s="68">
        <v>32.042000000000002</v>
      </c>
      <c r="D4" s="68">
        <v>512.6</v>
      </c>
      <c r="E4" s="68">
        <v>80.959999999999994</v>
      </c>
      <c r="F4" s="68">
        <v>0.55900000000000005</v>
      </c>
      <c r="G4" s="68">
        <v>11.9673</v>
      </c>
      <c r="H4" s="68">
        <v>3626.55</v>
      </c>
      <c r="I4" s="68">
        <v>34.29</v>
      </c>
      <c r="J4" s="68">
        <v>257</v>
      </c>
      <c r="K4" s="68">
        <v>364</v>
      </c>
      <c r="L4" s="7"/>
    </row>
    <row r="5" spans="1:24" ht="15" thickBot="1" x14ac:dyDescent="0.4">
      <c r="A5" s="28" t="s">
        <v>17</v>
      </c>
      <c r="B5" s="8" t="s">
        <v>18</v>
      </c>
      <c r="C5" s="28">
        <v>26.038</v>
      </c>
      <c r="D5" s="28">
        <v>308.3</v>
      </c>
      <c r="E5" s="28">
        <v>61.4</v>
      </c>
      <c r="F5" s="28">
        <v>0.184</v>
      </c>
      <c r="G5" s="28">
        <v>9.7279</v>
      </c>
      <c r="H5" s="28">
        <v>1637.14</v>
      </c>
      <c r="I5" s="28">
        <v>19.77</v>
      </c>
      <c r="J5" s="28">
        <v>194</v>
      </c>
      <c r="K5" s="28">
        <v>202</v>
      </c>
      <c r="L5" s="7"/>
      <c r="M5" s="33"/>
      <c r="N5" s="33"/>
      <c r="O5" s="7"/>
    </row>
    <row r="6" spans="1:24" ht="15" thickBot="1" x14ac:dyDescent="0.4">
      <c r="A6" s="28" t="s">
        <v>19</v>
      </c>
      <c r="B6" s="8" t="s">
        <v>20</v>
      </c>
      <c r="C6" s="28">
        <v>41.052</v>
      </c>
      <c r="D6" s="28">
        <v>548</v>
      </c>
      <c r="E6" s="28">
        <v>48.33</v>
      </c>
      <c r="F6" s="28">
        <v>0.32100000000000001</v>
      </c>
      <c r="G6" s="28">
        <v>9.6671999999999993</v>
      </c>
      <c r="H6" s="28">
        <v>2945.47</v>
      </c>
      <c r="I6" s="28">
        <v>49.15</v>
      </c>
      <c r="J6" s="28">
        <v>260</v>
      </c>
      <c r="K6" s="28">
        <v>390</v>
      </c>
      <c r="L6" s="7"/>
      <c r="M6" s="147" t="s">
        <v>167</v>
      </c>
      <c r="N6" s="148"/>
    </row>
    <row r="7" spans="1:24" ht="15" thickBot="1" x14ac:dyDescent="0.4">
      <c r="A7" s="28" t="s">
        <v>17</v>
      </c>
      <c r="B7" s="8" t="s">
        <v>21</v>
      </c>
      <c r="C7" s="28">
        <v>28.053000000000001</v>
      </c>
      <c r="D7" s="28">
        <v>282.39999999999998</v>
      </c>
      <c r="E7" s="28">
        <v>50.36</v>
      </c>
      <c r="F7" s="28">
        <v>8.5000000000000006E-2</v>
      </c>
      <c r="G7" s="28">
        <v>8.9166000000000007</v>
      </c>
      <c r="H7" s="28">
        <v>1347.01</v>
      </c>
      <c r="I7" s="28">
        <v>18.149999999999999</v>
      </c>
      <c r="J7" s="28">
        <v>120</v>
      </c>
      <c r="K7" s="28">
        <v>182</v>
      </c>
      <c r="L7" s="7"/>
      <c r="M7" s="149" t="s">
        <v>168</v>
      </c>
      <c r="N7" s="150"/>
    </row>
    <row r="8" spans="1:24" x14ac:dyDescent="0.35">
      <c r="A8" s="28" t="s">
        <v>22</v>
      </c>
      <c r="B8" s="8" t="s">
        <v>23</v>
      </c>
      <c r="C8" s="28">
        <v>44.052999999999997</v>
      </c>
      <c r="D8" s="28">
        <v>461</v>
      </c>
      <c r="E8" s="28">
        <v>55.73</v>
      </c>
      <c r="F8" s="28">
        <v>0.30299999999999999</v>
      </c>
      <c r="G8" s="28">
        <v>9.6279000000000003</v>
      </c>
      <c r="H8" s="28">
        <v>2465.15</v>
      </c>
      <c r="I8" s="28">
        <v>37.15</v>
      </c>
      <c r="J8" s="28">
        <v>210</v>
      </c>
      <c r="K8" s="28">
        <v>320</v>
      </c>
      <c r="L8" s="7"/>
    </row>
    <row r="9" spans="1:24" x14ac:dyDescent="0.35">
      <c r="A9" s="28" t="s">
        <v>22</v>
      </c>
      <c r="B9" s="8" t="s">
        <v>62</v>
      </c>
      <c r="C9" s="28">
        <v>44.052999999999997</v>
      </c>
      <c r="D9" s="28">
        <v>469</v>
      </c>
      <c r="E9" s="28">
        <v>71.94</v>
      </c>
      <c r="F9" s="28">
        <v>0.2</v>
      </c>
      <c r="G9" s="28">
        <v>10.1198</v>
      </c>
      <c r="H9" s="28">
        <v>2567.61</v>
      </c>
      <c r="I9" s="28">
        <v>29.01</v>
      </c>
      <c r="J9" s="28">
        <v>300</v>
      </c>
      <c r="K9" s="28">
        <v>310</v>
      </c>
      <c r="L9" s="7"/>
    </row>
    <row r="10" spans="1:24" x14ac:dyDescent="0.35">
      <c r="A10" s="28" t="s">
        <v>24</v>
      </c>
      <c r="B10" s="8" t="s">
        <v>63</v>
      </c>
      <c r="C10" s="28">
        <v>60.052</v>
      </c>
      <c r="D10" s="28">
        <v>594.4</v>
      </c>
      <c r="E10" s="28">
        <v>57.86</v>
      </c>
      <c r="F10" s="28">
        <v>0.45400000000000001</v>
      </c>
      <c r="G10" s="28">
        <v>10.187799999999999</v>
      </c>
      <c r="H10" s="28">
        <v>3405.57</v>
      </c>
      <c r="I10" s="28">
        <v>56.34</v>
      </c>
      <c r="J10" s="28">
        <v>290</v>
      </c>
      <c r="K10" s="28">
        <v>430</v>
      </c>
      <c r="L10" s="7"/>
    </row>
    <row r="11" spans="1:24" x14ac:dyDescent="0.35">
      <c r="A11" s="28" t="s">
        <v>25</v>
      </c>
      <c r="B11" s="8" t="s">
        <v>26</v>
      </c>
      <c r="C11" s="28">
        <v>30.068999999999999</v>
      </c>
      <c r="D11" s="28">
        <v>305.39999999999998</v>
      </c>
      <c r="E11" s="28">
        <v>48.74</v>
      </c>
      <c r="F11" s="28">
        <v>9.9000000000000005E-2</v>
      </c>
      <c r="G11" s="28">
        <v>9.0434999999999999</v>
      </c>
      <c r="H11" s="28">
        <v>1511.42</v>
      </c>
      <c r="I11" s="28">
        <v>17.16</v>
      </c>
      <c r="J11" s="28">
        <v>130</v>
      </c>
      <c r="K11" s="28">
        <v>199</v>
      </c>
      <c r="L11" s="7"/>
    </row>
    <row r="12" spans="1:24" x14ac:dyDescent="0.35">
      <c r="A12" s="28" t="s">
        <v>27</v>
      </c>
      <c r="B12" s="8" t="s">
        <v>28</v>
      </c>
      <c r="C12" s="28">
        <v>46.067999999999998</v>
      </c>
      <c r="D12" s="28">
        <v>516.20000000000005</v>
      </c>
      <c r="E12" s="28">
        <v>63.83</v>
      </c>
      <c r="F12" s="28">
        <v>0.63500000000000001</v>
      </c>
      <c r="G12" s="28">
        <v>12.291700000000001</v>
      </c>
      <c r="H12" s="28">
        <v>3803.98</v>
      </c>
      <c r="I12" s="28">
        <v>41.68</v>
      </c>
      <c r="J12" s="28">
        <v>270</v>
      </c>
      <c r="K12" s="28">
        <v>369</v>
      </c>
      <c r="L12" s="7"/>
    </row>
    <row r="13" spans="1:24" x14ac:dyDescent="0.35">
      <c r="A13" s="28" t="s">
        <v>29</v>
      </c>
      <c r="B13" s="8" t="s">
        <v>30</v>
      </c>
      <c r="C13" s="28">
        <v>42.08</v>
      </c>
      <c r="D13" s="28">
        <v>365</v>
      </c>
      <c r="E13" s="28">
        <v>46.2</v>
      </c>
      <c r="F13" s="28">
        <v>0.14799999999999999</v>
      </c>
      <c r="G13" s="28">
        <v>9.0824999999999996</v>
      </c>
      <c r="H13" s="28">
        <v>1807.53</v>
      </c>
      <c r="I13" s="28">
        <v>26.15</v>
      </c>
      <c r="J13" s="28">
        <v>160</v>
      </c>
      <c r="K13" s="28">
        <v>240</v>
      </c>
      <c r="L13" s="7"/>
    </row>
    <row r="14" spans="1:24" x14ac:dyDescent="0.35">
      <c r="A14" s="28" t="s">
        <v>31</v>
      </c>
      <c r="B14" s="8" t="s">
        <v>32</v>
      </c>
      <c r="C14" s="28">
        <v>58.079000000000001</v>
      </c>
      <c r="D14" s="28">
        <v>508.1</v>
      </c>
      <c r="E14" s="28">
        <v>47.01</v>
      </c>
      <c r="F14" s="28">
        <v>0.309</v>
      </c>
      <c r="G14" s="28">
        <v>10.0311</v>
      </c>
      <c r="H14" s="28">
        <v>2940.46</v>
      </c>
      <c r="I14" s="28">
        <v>35.93</v>
      </c>
      <c r="J14" s="28">
        <v>241</v>
      </c>
      <c r="K14" s="28">
        <v>350</v>
      </c>
      <c r="L14" s="7"/>
    </row>
    <row r="15" spans="1:24" x14ac:dyDescent="0.35">
      <c r="A15" s="28" t="s">
        <v>33</v>
      </c>
      <c r="B15" s="8" t="s">
        <v>34</v>
      </c>
      <c r="C15" s="28">
        <v>44.095999999999997</v>
      </c>
      <c r="D15" s="28">
        <v>370</v>
      </c>
      <c r="E15" s="28">
        <v>42.44</v>
      </c>
      <c r="F15" s="28">
        <v>0.152</v>
      </c>
      <c r="G15" s="28">
        <v>9.1058000000000003</v>
      </c>
      <c r="H15" s="28">
        <v>1872.46</v>
      </c>
      <c r="I15" s="28">
        <v>25.16</v>
      </c>
      <c r="J15" s="28">
        <v>164</v>
      </c>
      <c r="K15" s="28">
        <v>249</v>
      </c>
      <c r="L15" s="7"/>
    </row>
    <row r="16" spans="1:24" x14ac:dyDescent="0.35">
      <c r="A16" s="28" t="s">
        <v>35</v>
      </c>
      <c r="B16" s="8" t="s">
        <v>36</v>
      </c>
      <c r="C16" s="28">
        <v>60.094999999999999</v>
      </c>
      <c r="D16" s="28">
        <v>536.70000000000005</v>
      </c>
      <c r="E16" s="28">
        <v>51.68</v>
      </c>
      <c r="F16" s="28">
        <v>0.624</v>
      </c>
      <c r="G16" s="28">
        <v>10.9237</v>
      </c>
      <c r="H16" s="28">
        <v>3166.38</v>
      </c>
      <c r="I16" s="28">
        <v>80.150000000000006</v>
      </c>
      <c r="J16" s="28">
        <v>285</v>
      </c>
      <c r="K16" s="28">
        <v>400</v>
      </c>
      <c r="L16" s="7"/>
    </row>
    <row r="17" spans="1:15" x14ac:dyDescent="0.35">
      <c r="A17" s="28" t="s">
        <v>37</v>
      </c>
      <c r="B17" s="8" t="s">
        <v>38</v>
      </c>
      <c r="C17" s="28">
        <v>54.09</v>
      </c>
      <c r="D17" s="28">
        <v>425</v>
      </c>
      <c r="E17" s="28">
        <v>43.27</v>
      </c>
      <c r="F17" s="28">
        <v>0.19500000000000001</v>
      </c>
      <c r="G17" s="28">
        <v>9.1524999999999999</v>
      </c>
      <c r="H17" s="28">
        <v>2142.66</v>
      </c>
      <c r="I17" s="28">
        <v>34.299999999999997</v>
      </c>
      <c r="J17" s="28">
        <v>215</v>
      </c>
      <c r="K17" s="28">
        <v>290</v>
      </c>
      <c r="L17" s="7"/>
    </row>
    <row r="18" spans="1:15" x14ac:dyDescent="0.35">
      <c r="A18" s="28" t="s">
        <v>39</v>
      </c>
      <c r="B18" s="8" t="s">
        <v>40</v>
      </c>
      <c r="C18" s="28">
        <v>56.106000000000002</v>
      </c>
      <c r="D18" s="28">
        <v>435.6</v>
      </c>
      <c r="E18" s="28">
        <v>42.05</v>
      </c>
      <c r="F18" s="28">
        <v>0.20200000000000001</v>
      </c>
      <c r="G18" s="28">
        <v>9.1968999999999994</v>
      </c>
      <c r="H18" s="28">
        <v>2210.71</v>
      </c>
      <c r="I18" s="28">
        <v>36.15</v>
      </c>
      <c r="J18" s="28">
        <v>200</v>
      </c>
      <c r="K18" s="28">
        <v>305</v>
      </c>
      <c r="L18" s="7"/>
    </row>
    <row r="19" spans="1:15" ht="15" thickBot="1" x14ac:dyDescent="0.4">
      <c r="A19" s="28" t="s">
        <v>39</v>
      </c>
      <c r="B19" s="8" t="s">
        <v>41</v>
      </c>
      <c r="C19" s="28">
        <v>56.106000000000002</v>
      </c>
      <c r="D19" s="28">
        <v>428.6</v>
      </c>
      <c r="E19" s="28">
        <v>41.04</v>
      </c>
      <c r="F19" s="28">
        <v>0.214</v>
      </c>
      <c r="G19" s="28">
        <v>9.1974999999999998</v>
      </c>
      <c r="H19" s="28">
        <v>2212.3200000000002</v>
      </c>
      <c r="I19" s="28">
        <v>33.15</v>
      </c>
      <c r="J19" s="28">
        <v>200</v>
      </c>
      <c r="K19" s="28">
        <v>300</v>
      </c>
      <c r="L19" s="7"/>
    </row>
    <row r="20" spans="1:15" x14ac:dyDescent="0.35">
      <c r="A20" s="28" t="s">
        <v>42</v>
      </c>
      <c r="B20" s="8" t="s">
        <v>61</v>
      </c>
      <c r="C20" s="28">
        <v>88.105000000000004</v>
      </c>
      <c r="D20" s="28">
        <v>523.20000000000005</v>
      </c>
      <c r="E20" s="28">
        <v>38.299999999999997</v>
      </c>
      <c r="F20" s="28">
        <v>0.36299999999999999</v>
      </c>
      <c r="G20" s="28">
        <v>9.5313999999999997</v>
      </c>
      <c r="H20" s="28">
        <v>2790.5</v>
      </c>
      <c r="I20" s="28">
        <v>57.15</v>
      </c>
      <c r="J20" s="28">
        <v>260</v>
      </c>
      <c r="K20" s="28">
        <v>385</v>
      </c>
      <c r="L20" s="7"/>
      <c r="M20" s="151" t="s">
        <v>346</v>
      </c>
      <c r="N20" s="152"/>
      <c r="O20" s="153"/>
    </row>
    <row r="21" spans="1:15" ht="15" thickBot="1" x14ac:dyDescent="0.4">
      <c r="A21" s="28" t="s">
        <v>43</v>
      </c>
      <c r="B21" s="8" t="s">
        <v>44</v>
      </c>
      <c r="C21" s="28">
        <v>58.122</v>
      </c>
      <c r="D21" s="28">
        <v>425.2</v>
      </c>
      <c r="E21" s="28">
        <v>37.9</v>
      </c>
      <c r="F21" s="28">
        <v>0.193</v>
      </c>
      <c r="G21" s="28">
        <v>9.0579999999999998</v>
      </c>
      <c r="H21" s="28">
        <v>2154.9</v>
      </c>
      <c r="I21" s="28">
        <v>34.42</v>
      </c>
      <c r="J21" s="28">
        <v>195</v>
      </c>
      <c r="K21" s="28">
        <v>290</v>
      </c>
      <c r="L21" s="7"/>
      <c r="M21" s="154" t="s">
        <v>348</v>
      </c>
      <c r="N21" s="155"/>
      <c r="O21" s="156"/>
    </row>
    <row r="22" spans="1:15" x14ac:dyDescent="0.35">
      <c r="A22" s="28" t="s">
        <v>43</v>
      </c>
      <c r="B22" s="8" t="s">
        <v>45</v>
      </c>
      <c r="C22" s="28">
        <v>58.122</v>
      </c>
      <c r="D22" s="28">
        <v>408.1</v>
      </c>
      <c r="E22" s="28">
        <v>36.479999999999997</v>
      </c>
      <c r="F22" s="28">
        <v>0.17599999999999999</v>
      </c>
      <c r="G22" s="28">
        <v>8.9178999999999995</v>
      </c>
      <c r="H22" s="28">
        <v>2032.76</v>
      </c>
      <c r="I22" s="28">
        <v>33.15</v>
      </c>
      <c r="J22" s="28">
        <v>187</v>
      </c>
      <c r="K22" s="28">
        <v>280</v>
      </c>
      <c r="L22" s="7"/>
    </row>
    <row r="23" spans="1:15" x14ac:dyDescent="0.35">
      <c r="A23" s="28" t="s">
        <v>46</v>
      </c>
      <c r="B23" s="8" t="s">
        <v>47</v>
      </c>
      <c r="C23" s="28">
        <v>74.122</v>
      </c>
      <c r="D23" s="28">
        <v>562.9</v>
      </c>
      <c r="E23" s="28">
        <v>44.18</v>
      </c>
      <c r="F23" s="28">
        <v>0.59</v>
      </c>
      <c r="G23" s="28">
        <v>10.595800000000001</v>
      </c>
      <c r="H23" s="28">
        <v>3137.02</v>
      </c>
      <c r="I23" s="28">
        <v>94.43</v>
      </c>
      <c r="J23" s="28">
        <v>288</v>
      </c>
      <c r="K23" s="28">
        <v>404</v>
      </c>
      <c r="L23" s="7"/>
    </row>
    <row r="24" spans="1:15" x14ac:dyDescent="0.35">
      <c r="A24" s="28" t="s">
        <v>48</v>
      </c>
      <c r="B24" s="8" t="s">
        <v>49</v>
      </c>
      <c r="C24" s="28">
        <v>70.132999999999996</v>
      </c>
      <c r="D24" s="28">
        <v>464.7</v>
      </c>
      <c r="E24" s="28">
        <v>40.53</v>
      </c>
      <c r="F24" s="28">
        <v>0.245</v>
      </c>
      <c r="G24" s="28">
        <v>9.1443999999999992</v>
      </c>
      <c r="H24" s="28">
        <v>2405.96</v>
      </c>
      <c r="I24" s="28">
        <v>39.630000000000003</v>
      </c>
      <c r="J24" s="28">
        <v>220</v>
      </c>
      <c r="K24" s="28">
        <v>325</v>
      </c>
      <c r="L24" s="7"/>
    </row>
    <row r="25" spans="1:15" x14ac:dyDescent="0.35">
      <c r="A25" s="28" t="s">
        <v>50</v>
      </c>
      <c r="B25" s="8" t="s">
        <v>51</v>
      </c>
      <c r="C25" s="28">
        <v>72.149000000000001</v>
      </c>
      <c r="D25" s="28">
        <v>469.6</v>
      </c>
      <c r="E25" s="28">
        <v>33.74</v>
      </c>
      <c r="F25" s="28">
        <v>0.251</v>
      </c>
      <c r="G25" s="28">
        <v>9.2131000000000007</v>
      </c>
      <c r="H25" s="28">
        <v>2477.0700000000002</v>
      </c>
      <c r="I25" s="28">
        <v>39.94</v>
      </c>
      <c r="J25" s="28">
        <v>220</v>
      </c>
      <c r="K25" s="28">
        <v>330</v>
      </c>
      <c r="L25" s="7"/>
    </row>
    <row r="26" spans="1:15" x14ac:dyDescent="0.35">
      <c r="A26" s="28" t="s">
        <v>52</v>
      </c>
      <c r="B26" s="8" t="s">
        <v>53</v>
      </c>
      <c r="C26" s="28">
        <v>78.111999999999995</v>
      </c>
      <c r="D26" s="28">
        <v>562.1</v>
      </c>
      <c r="E26" s="28">
        <v>48.94</v>
      </c>
      <c r="F26" s="28">
        <v>0.21199999999999999</v>
      </c>
      <c r="G26" s="28">
        <v>9.2805999999999997</v>
      </c>
      <c r="H26" s="28">
        <v>2788.51</v>
      </c>
      <c r="I26" s="28">
        <v>52.36</v>
      </c>
      <c r="J26" s="28">
        <v>280</v>
      </c>
      <c r="K26" s="28">
        <v>377</v>
      </c>
      <c r="L26" s="7"/>
    </row>
    <row r="27" spans="1:15" x14ac:dyDescent="0.35">
      <c r="A27" s="28" t="s">
        <v>54</v>
      </c>
      <c r="B27" s="8" t="s">
        <v>55</v>
      </c>
      <c r="C27" s="28">
        <v>94.111000000000004</v>
      </c>
      <c r="D27" s="28">
        <v>694.2</v>
      </c>
      <c r="E27" s="28">
        <v>61.3</v>
      </c>
      <c r="F27" s="28">
        <v>0.44</v>
      </c>
      <c r="G27" s="28">
        <v>9.8077000000000005</v>
      </c>
      <c r="H27" s="28">
        <v>3490.89</v>
      </c>
      <c r="I27" s="28">
        <v>98.59</v>
      </c>
      <c r="J27" s="28">
        <v>345</v>
      </c>
      <c r="K27" s="28">
        <v>481</v>
      </c>
    </row>
    <row r="28" spans="1:15" x14ac:dyDescent="0.35">
      <c r="A28" s="28" t="s">
        <v>56</v>
      </c>
      <c r="B28" s="8" t="s">
        <v>57</v>
      </c>
      <c r="C28" s="28">
        <v>93.126999999999995</v>
      </c>
      <c r="D28" s="28">
        <v>699</v>
      </c>
      <c r="E28" s="28">
        <v>53.09</v>
      </c>
      <c r="F28" s="28">
        <v>0.38200000000000001</v>
      </c>
      <c r="G28" s="28">
        <v>10.054600000000001</v>
      </c>
      <c r="H28" s="28">
        <v>3857.52</v>
      </c>
      <c r="I28" s="28">
        <v>73.150000000000006</v>
      </c>
      <c r="J28" s="28">
        <v>340</v>
      </c>
      <c r="K28" s="28">
        <v>500</v>
      </c>
    </row>
    <row r="29" spans="1:15" x14ac:dyDescent="0.35">
      <c r="A29" s="28" t="s">
        <v>58</v>
      </c>
      <c r="B29" s="8" t="s">
        <v>59</v>
      </c>
      <c r="C29" s="28">
        <v>84.159000000000006</v>
      </c>
      <c r="D29" s="28">
        <v>553.4</v>
      </c>
      <c r="E29" s="28">
        <v>40.729999999999997</v>
      </c>
      <c r="F29" s="28">
        <v>0.21299999999999999</v>
      </c>
      <c r="G29" s="28">
        <v>9.1325000000000003</v>
      </c>
      <c r="H29" s="28">
        <v>2766.63</v>
      </c>
      <c r="I29" s="28">
        <v>50.5</v>
      </c>
      <c r="J29" s="28">
        <v>280</v>
      </c>
      <c r="K29" s="28">
        <v>380</v>
      </c>
    </row>
    <row r="30" spans="1:15" x14ac:dyDescent="0.35">
      <c r="A30" s="28" t="s">
        <v>58</v>
      </c>
      <c r="B30" s="8" t="s">
        <v>60</v>
      </c>
      <c r="C30" s="28">
        <v>84.159000000000006</v>
      </c>
      <c r="D30" s="28">
        <v>504</v>
      </c>
      <c r="E30" s="28">
        <v>31.71</v>
      </c>
      <c r="F30" s="28">
        <v>0.28499999999999998</v>
      </c>
      <c r="G30" s="28">
        <v>9.1887000000000008</v>
      </c>
      <c r="H30" s="28">
        <v>2654.81</v>
      </c>
      <c r="I30" s="28">
        <v>47.3</v>
      </c>
      <c r="J30" s="28">
        <v>240</v>
      </c>
      <c r="K30" s="28">
        <v>360</v>
      </c>
    </row>
    <row r="31" spans="1:15" x14ac:dyDescent="0.35">
      <c r="A31" s="28" t="s">
        <v>64</v>
      </c>
      <c r="B31" s="8" t="s">
        <v>65</v>
      </c>
      <c r="C31" s="28">
        <v>92.138000000000005</v>
      </c>
      <c r="D31" s="28">
        <v>591.70000000000005</v>
      </c>
      <c r="E31" s="28">
        <v>41.14</v>
      </c>
      <c r="F31" s="28">
        <v>0.25700000000000001</v>
      </c>
      <c r="G31" s="28">
        <v>9.3934999999999995</v>
      </c>
      <c r="H31" s="28">
        <v>3096.52</v>
      </c>
      <c r="I31" s="28">
        <v>53.67</v>
      </c>
      <c r="J31" s="28">
        <v>280</v>
      </c>
      <c r="K31" s="28">
        <v>410</v>
      </c>
    </row>
    <row r="32" spans="1:15" x14ac:dyDescent="0.35">
      <c r="A32" s="28" t="s">
        <v>66</v>
      </c>
      <c r="B32" s="8" t="s">
        <v>67</v>
      </c>
      <c r="C32" s="28">
        <v>98.186000000000007</v>
      </c>
      <c r="D32" s="28">
        <v>537.20000000000005</v>
      </c>
      <c r="E32" s="28">
        <v>28.37</v>
      </c>
      <c r="F32" s="28">
        <v>0.35799999999999998</v>
      </c>
      <c r="G32" s="28">
        <v>9.2691999999999997</v>
      </c>
      <c r="H32" s="28">
        <v>2895.51</v>
      </c>
      <c r="I32" s="28">
        <v>53.97</v>
      </c>
      <c r="J32" s="28">
        <v>265</v>
      </c>
      <c r="K32" s="28">
        <v>400</v>
      </c>
    </row>
    <row r="33" spans="1:20" x14ac:dyDescent="0.35">
      <c r="A33" s="28" t="s">
        <v>68</v>
      </c>
      <c r="B33" s="8" t="s">
        <v>69</v>
      </c>
      <c r="C33" s="28">
        <v>100.202</v>
      </c>
      <c r="D33" s="28">
        <v>540.20000000000005</v>
      </c>
      <c r="E33" s="28">
        <v>27.36</v>
      </c>
      <c r="F33" s="28">
        <v>0.35099999999999998</v>
      </c>
      <c r="G33" s="28">
        <v>9.2535000000000007</v>
      </c>
      <c r="H33" s="28">
        <v>2911.32</v>
      </c>
      <c r="I33" s="28">
        <v>56.51</v>
      </c>
      <c r="J33" s="28">
        <v>270</v>
      </c>
      <c r="K33" s="28">
        <v>400</v>
      </c>
      <c r="M33" s="3" t="s">
        <v>153</v>
      </c>
      <c r="N33" s="141" t="s">
        <v>1</v>
      </c>
      <c r="O33" s="141"/>
      <c r="P33" s="4" t="s">
        <v>6</v>
      </c>
      <c r="Q33" s="4" t="s">
        <v>7</v>
      </c>
      <c r="R33" s="4" t="s">
        <v>8</v>
      </c>
      <c r="S33" s="4" t="s">
        <v>10</v>
      </c>
      <c r="T33" s="4" t="s">
        <v>9</v>
      </c>
    </row>
    <row r="34" spans="1:20" x14ac:dyDescent="0.35">
      <c r="A34" s="28" t="s">
        <v>70</v>
      </c>
      <c r="B34" s="8" t="s">
        <v>71</v>
      </c>
      <c r="C34" s="28">
        <v>104.149</v>
      </c>
      <c r="D34" s="28">
        <v>647</v>
      </c>
      <c r="E34" s="28">
        <v>39.92</v>
      </c>
      <c r="F34" s="28">
        <v>0.25700000000000001</v>
      </c>
      <c r="G34" s="28">
        <v>9.3991000000000007</v>
      </c>
      <c r="H34" s="28">
        <v>3328.57</v>
      </c>
      <c r="I34" s="28">
        <v>63.72</v>
      </c>
      <c r="J34" s="28">
        <v>305</v>
      </c>
      <c r="K34" s="28">
        <v>460</v>
      </c>
      <c r="M34" s="1">
        <v>200</v>
      </c>
      <c r="N34" s="142" t="s">
        <v>44</v>
      </c>
      <c r="O34" s="142"/>
      <c r="P34" s="2">
        <f xml:space="preserve"> VLOOKUP($N$34,$B$2:$K$76,6,FALSE)</f>
        <v>9.0579999999999998</v>
      </c>
      <c r="Q34" s="2">
        <f xml:space="preserve"> VLOOKUP($N$34,$B$2:$K$76,7,FALSE)</f>
        <v>2154.9</v>
      </c>
      <c r="R34" s="2">
        <f xml:space="preserve"> VLOOKUP($N$34,$B$2:$K$76,8,FALSE)</f>
        <v>34.42</v>
      </c>
      <c r="S34" s="5">
        <f xml:space="preserve"> VLOOKUP($N$34,$B$2:$K$76,9,FALSE)</f>
        <v>195</v>
      </c>
      <c r="T34" s="5">
        <f xml:space="preserve"> VLOOKUP($N$34,$B$2:$K$76,10,FALSE)</f>
        <v>290</v>
      </c>
    </row>
    <row r="35" spans="1:20" ht="15" thickBot="1" x14ac:dyDescent="0.4">
      <c r="A35" s="28" t="s">
        <v>72</v>
      </c>
      <c r="B35" s="8" t="s">
        <v>73</v>
      </c>
      <c r="C35" s="28">
        <v>106.16500000000001</v>
      </c>
      <c r="D35" s="28">
        <v>630.20000000000005</v>
      </c>
      <c r="E35" s="28">
        <v>37.29</v>
      </c>
      <c r="F35" s="28">
        <v>0.314</v>
      </c>
      <c r="G35" s="28">
        <v>9.4954000000000001</v>
      </c>
      <c r="H35" s="28">
        <v>3395.57</v>
      </c>
      <c r="I35" s="28">
        <v>59.46</v>
      </c>
      <c r="J35" s="28">
        <v>305</v>
      </c>
      <c r="K35" s="28">
        <v>445</v>
      </c>
    </row>
    <row r="36" spans="1:20" x14ac:dyDescent="0.35">
      <c r="A36" s="28" t="s">
        <v>72</v>
      </c>
      <c r="B36" s="8" t="s">
        <v>74</v>
      </c>
      <c r="C36" s="28">
        <v>106.16500000000001</v>
      </c>
      <c r="D36" s="28">
        <v>617</v>
      </c>
      <c r="E36" s="28">
        <v>35.46</v>
      </c>
      <c r="F36" s="28">
        <v>0.33100000000000002</v>
      </c>
      <c r="G36" s="28">
        <v>9.5188000000000006</v>
      </c>
      <c r="H36" s="28">
        <v>3366.99</v>
      </c>
      <c r="I36" s="28">
        <v>58.04</v>
      </c>
      <c r="J36" s="28">
        <v>300</v>
      </c>
      <c r="K36" s="28">
        <v>440</v>
      </c>
      <c r="M36" s="143" t="s">
        <v>154</v>
      </c>
      <c r="N36" s="145">
        <f xml:space="preserve"> EXP(P34 - Q34/(M34 - R34))</f>
        <v>1.913467912800457E-2</v>
      </c>
    </row>
    <row r="37" spans="1:20" ht="15" thickBot="1" x14ac:dyDescent="0.4">
      <c r="A37" s="28" t="s">
        <v>72</v>
      </c>
      <c r="B37" s="8" t="s">
        <v>75</v>
      </c>
      <c r="C37" s="28">
        <v>106.16500000000001</v>
      </c>
      <c r="D37" s="28">
        <v>616.20000000000005</v>
      </c>
      <c r="E37" s="28">
        <v>35.159999999999997</v>
      </c>
      <c r="F37" s="28">
        <v>0.32400000000000001</v>
      </c>
      <c r="G37" s="28">
        <v>9.4761000000000006</v>
      </c>
      <c r="H37" s="28">
        <v>3346.65</v>
      </c>
      <c r="I37" s="28">
        <v>57.84</v>
      </c>
      <c r="J37" s="28">
        <v>300</v>
      </c>
      <c r="K37" s="28">
        <v>440</v>
      </c>
      <c r="M37" s="144"/>
      <c r="N37" s="146"/>
    </row>
    <row r="38" spans="1:20" x14ac:dyDescent="0.35">
      <c r="A38" s="28" t="s">
        <v>72</v>
      </c>
      <c r="B38" s="8" t="s">
        <v>76</v>
      </c>
      <c r="C38" s="28">
        <v>106.16500000000001</v>
      </c>
      <c r="D38" s="28">
        <v>617.1</v>
      </c>
      <c r="E38" s="28">
        <v>36.07</v>
      </c>
      <c r="F38" s="28">
        <v>0.30099999999999999</v>
      </c>
      <c r="G38" s="28">
        <v>9.3993000000000002</v>
      </c>
      <c r="H38" s="28">
        <v>3279.47</v>
      </c>
      <c r="I38" s="28">
        <v>59.95</v>
      </c>
      <c r="J38" s="28">
        <v>300</v>
      </c>
      <c r="K38" s="28">
        <v>450</v>
      </c>
    </row>
    <row r="39" spans="1:20" x14ac:dyDescent="0.35">
      <c r="A39" s="28" t="s">
        <v>77</v>
      </c>
      <c r="B39" s="8" t="s">
        <v>78</v>
      </c>
      <c r="C39" s="28">
        <v>112.21299999999999</v>
      </c>
      <c r="D39" s="28">
        <v>566.6</v>
      </c>
      <c r="E39" s="28">
        <v>26.24</v>
      </c>
      <c r="F39" s="28">
        <v>0.38600000000000001</v>
      </c>
      <c r="G39" s="28">
        <v>9.3428000000000004</v>
      </c>
      <c r="H39" s="28">
        <v>3116.52</v>
      </c>
      <c r="I39" s="28">
        <v>60.39</v>
      </c>
      <c r="J39" s="28">
        <v>288</v>
      </c>
      <c r="K39" s="28">
        <v>420</v>
      </c>
    </row>
    <row r="40" spans="1:20" x14ac:dyDescent="0.35">
      <c r="A40" s="28" t="s">
        <v>79</v>
      </c>
      <c r="B40" s="8" t="s">
        <v>80</v>
      </c>
      <c r="C40" s="28">
        <v>114.229</v>
      </c>
      <c r="D40" s="28">
        <v>568.79999999999995</v>
      </c>
      <c r="E40" s="28">
        <v>24.82</v>
      </c>
      <c r="F40" s="28">
        <v>0.39400000000000002</v>
      </c>
      <c r="G40" s="28">
        <v>9.3224</v>
      </c>
      <c r="H40" s="28">
        <v>3120.29</v>
      </c>
      <c r="I40" s="28">
        <v>63.63</v>
      </c>
      <c r="J40" s="28">
        <v>292</v>
      </c>
      <c r="K40" s="28">
        <v>425</v>
      </c>
    </row>
    <row r="41" spans="1:20" x14ac:dyDescent="0.35">
      <c r="A41" s="28" t="s">
        <v>81</v>
      </c>
      <c r="B41" s="8" t="s">
        <v>82</v>
      </c>
      <c r="C41" s="28">
        <v>128.255</v>
      </c>
      <c r="D41" s="28">
        <v>594.6</v>
      </c>
      <c r="E41" s="28">
        <v>23.1</v>
      </c>
      <c r="F41" s="28">
        <v>0.44400000000000001</v>
      </c>
      <c r="G41" s="28">
        <v>9.3468999999999998</v>
      </c>
      <c r="H41" s="28">
        <v>3291.45</v>
      </c>
      <c r="I41" s="28">
        <v>71.33</v>
      </c>
      <c r="J41" s="28">
        <v>312</v>
      </c>
      <c r="K41" s="28">
        <v>452</v>
      </c>
    </row>
    <row r="42" spans="1:20" x14ac:dyDescent="0.35">
      <c r="A42" s="28" t="s">
        <v>83</v>
      </c>
      <c r="B42" s="8" t="s">
        <v>84</v>
      </c>
      <c r="C42" s="28">
        <v>128.17099999999999</v>
      </c>
      <c r="D42" s="28">
        <v>748.4</v>
      </c>
      <c r="E42" s="28">
        <v>40.53</v>
      </c>
      <c r="F42" s="28">
        <v>0.30199999999999999</v>
      </c>
      <c r="G42" s="28">
        <v>9.5223999999999993</v>
      </c>
      <c r="H42" s="28">
        <v>3992.01</v>
      </c>
      <c r="I42" s="28">
        <v>71.290000000000006</v>
      </c>
      <c r="J42" s="28">
        <v>360</v>
      </c>
      <c r="K42" s="28">
        <v>545</v>
      </c>
    </row>
    <row r="43" spans="1:20" x14ac:dyDescent="0.35">
      <c r="A43" s="28" t="s">
        <v>85</v>
      </c>
      <c r="B43" s="8" t="s">
        <v>86</v>
      </c>
      <c r="C43" s="28">
        <v>142.28200000000001</v>
      </c>
      <c r="D43" s="28">
        <v>617.6</v>
      </c>
      <c r="E43" s="28">
        <v>21.08</v>
      </c>
      <c r="F43" s="28">
        <v>0.49</v>
      </c>
      <c r="G43" s="28">
        <v>9.3911999999999995</v>
      </c>
      <c r="H43" s="28">
        <v>3456.8</v>
      </c>
      <c r="I43" s="28">
        <v>78.67</v>
      </c>
      <c r="J43" s="28">
        <v>330</v>
      </c>
      <c r="K43" s="28">
        <v>476</v>
      </c>
    </row>
    <row r="44" spans="1:20" x14ac:dyDescent="0.35">
      <c r="A44" s="28" t="s">
        <v>87</v>
      </c>
      <c r="B44" s="1" t="s">
        <v>88</v>
      </c>
      <c r="C44" s="28">
        <v>39.948</v>
      </c>
      <c r="D44" s="28">
        <v>150.80000000000001</v>
      </c>
      <c r="E44" s="28">
        <v>48.74</v>
      </c>
      <c r="F44" s="28">
        <v>20.004000000000001</v>
      </c>
      <c r="G44" s="28">
        <v>8.6128</v>
      </c>
      <c r="H44" s="28">
        <v>700.51</v>
      </c>
      <c r="I44" s="28">
        <v>5.84</v>
      </c>
      <c r="J44" s="28">
        <v>81</v>
      </c>
      <c r="K44" s="28">
        <v>94</v>
      </c>
    </row>
    <row r="45" spans="1:20" x14ac:dyDescent="0.35">
      <c r="A45" s="28" t="s">
        <v>89</v>
      </c>
      <c r="B45" s="1" t="s">
        <v>135</v>
      </c>
      <c r="C45" s="28">
        <v>117.169</v>
      </c>
      <c r="D45" s="28">
        <v>451.95</v>
      </c>
      <c r="E45" s="28">
        <v>38.71</v>
      </c>
      <c r="F45" s="28">
        <v>0.14799999999999999</v>
      </c>
      <c r="G45" s="28">
        <v>9.0984999999999996</v>
      </c>
      <c r="H45" s="28">
        <v>2242.71</v>
      </c>
      <c r="I45" s="28">
        <v>38.99</v>
      </c>
      <c r="J45" s="28">
        <v>182</v>
      </c>
      <c r="K45" s="28">
        <v>286</v>
      </c>
    </row>
    <row r="46" spans="1:20" x14ac:dyDescent="0.35">
      <c r="A46" s="28" t="s">
        <v>90</v>
      </c>
      <c r="B46" s="1" t="s">
        <v>91</v>
      </c>
      <c r="C46" s="28">
        <v>27.67</v>
      </c>
      <c r="D46" s="28">
        <v>289.8</v>
      </c>
      <c r="E46" s="28">
        <v>40.5</v>
      </c>
      <c r="F46" s="28">
        <v>0.13800000000000001</v>
      </c>
      <c r="G46" s="28">
        <v>8.7073999999999998</v>
      </c>
      <c r="H46" s="28">
        <v>1377.84</v>
      </c>
      <c r="I46" s="28">
        <v>22.18</v>
      </c>
      <c r="J46" s="28">
        <v>118</v>
      </c>
      <c r="K46" s="28">
        <v>181</v>
      </c>
    </row>
    <row r="47" spans="1:20" x14ac:dyDescent="0.35">
      <c r="A47" s="28" t="s">
        <v>92</v>
      </c>
      <c r="B47" s="1" t="s">
        <v>93</v>
      </c>
      <c r="C47" s="28">
        <v>159.80799999999999</v>
      </c>
      <c r="D47" s="28">
        <v>584</v>
      </c>
      <c r="E47" s="28">
        <v>103.35</v>
      </c>
      <c r="F47" s="28">
        <v>0.13200000000000001</v>
      </c>
      <c r="G47" s="28">
        <v>9.2239000000000004</v>
      </c>
      <c r="H47" s="28">
        <v>2582.3200000000002</v>
      </c>
      <c r="I47" s="28">
        <v>51.56</v>
      </c>
      <c r="J47" s="28">
        <v>259</v>
      </c>
      <c r="K47" s="28">
        <v>354</v>
      </c>
    </row>
    <row r="48" spans="1:20" x14ac:dyDescent="0.35">
      <c r="A48" s="28" t="s">
        <v>94</v>
      </c>
      <c r="B48" s="1" t="s">
        <v>136</v>
      </c>
      <c r="C48" s="28">
        <v>137.36699999999999</v>
      </c>
      <c r="D48" s="28">
        <v>471.2</v>
      </c>
      <c r="E48" s="28">
        <v>44.08</v>
      </c>
      <c r="F48" s="28">
        <v>0.188</v>
      </c>
      <c r="G48" s="28">
        <v>9.2314000000000007</v>
      </c>
      <c r="H48" s="28">
        <v>2401.61</v>
      </c>
      <c r="I48" s="28">
        <v>36.299999999999997</v>
      </c>
      <c r="J48" s="28">
        <v>240</v>
      </c>
      <c r="K48" s="28">
        <v>300</v>
      </c>
    </row>
    <row r="49" spans="1:11" x14ac:dyDescent="0.35">
      <c r="A49" s="28" t="s">
        <v>95</v>
      </c>
      <c r="B49" s="1" t="s">
        <v>137</v>
      </c>
      <c r="C49" s="28">
        <v>88.004000000000005</v>
      </c>
      <c r="D49" s="28">
        <v>227.6</v>
      </c>
      <c r="E49" s="28">
        <v>37.39</v>
      </c>
      <c r="F49" s="28">
        <v>0.191</v>
      </c>
      <c r="G49" s="28">
        <v>9.4341000000000008</v>
      </c>
      <c r="H49" s="28">
        <v>1244.55</v>
      </c>
      <c r="I49" s="28">
        <v>13.06</v>
      </c>
      <c r="J49" s="28">
        <v>93</v>
      </c>
      <c r="K49" s="28">
        <v>148</v>
      </c>
    </row>
    <row r="50" spans="1:11" x14ac:dyDescent="0.35">
      <c r="A50" s="28" t="s">
        <v>96</v>
      </c>
      <c r="B50" s="1" t="s">
        <v>138</v>
      </c>
      <c r="C50" s="28">
        <v>138.012</v>
      </c>
      <c r="D50" s="28">
        <v>292.8</v>
      </c>
      <c r="E50" s="28">
        <v>30.42</v>
      </c>
      <c r="F50" s="28">
        <v>0.255</v>
      </c>
      <c r="G50" s="28">
        <v>9.1646000000000001</v>
      </c>
      <c r="H50" s="28">
        <v>1559.11</v>
      </c>
      <c r="I50" s="28">
        <v>24.51</v>
      </c>
      <c r="J50" s="28">
        <v>180</v>
      </c>
      <c r="K50" s="28">
        <v>195</v>
      </c>
    </row>
    <row r="51" spans="1:11" x14ac:dyDescent="0.35">
      <c r="A51" s="28" t="s">
        <v>97</v>
      </c>
      <c r="B51" s="1" t="s">
        <v>98</v>
      </c>
      <c r="C51" s="28">
        <v>119.377</v>
      </c>
      <c r="D51" s="28">
        <v>536.4</v>
      </c>
      <c r="E51" s="28">
        <v>54.72</v>
      </c>
      <c r="F51" s="28">
        <v>0.216</v>
      </c>
      <c r="G51" s="28">
        <v>9.3529999999999998</v>
      </c>
      <c r="H51" s="28">
        <v>2696.79</v>
      </c>
      <c r="I51" s="28">
        <v>46.16</v>
      </c>
      <c r="J51" s="28">
        <v>260</v>
      </c>
      <c r="K51" s="28">
        <v>370</v>
      </c>
    </row>
    <row r="52" spans="1:11" x14ac:dyDescent="0.35">
      <c r="A52" s="28" t="s">
        <v>99</v>
      </c>
      <c r="B52" s="1" t="s">
        <v>139</v>
      </c>
      <c r="C52" s="28">
        <v>28.01</v>
      </c>
      <c r="D52" s="28">
        <v>132.9</v>
      </c>
      <c r="E52" s="28">
        <v>34.96</v>
      </c>
      <c r="F52" s="28">
        <v>4.9000000000000002E-2</v>
      </c>
      <c r="G52" s="28">
        <v>7.7484000000000002</v>
      </c>
      <c r="H52" s="28">
        <v>530.22</v>
      </c>
      <c r="I52" s="28">
        <v>13.15</v>
      </c>
      <c r="J52" s="28">
        <v>63</v>
      </c>
      <c r="K52" s="28">
        <v>108</v>
      </c>
    </row>
    <row r="53" spans="1:11" x14ac:dyDescent="0.35">
      <c r="A53" s="28" t="s">
        <v>100</v>
      </c>
      <c r="B53" s="1" t="s">
        <v>140</v>
      </c>
      <c r="C53" s="28">
        <v>44.01</v>
      </c>
      <c r="D53" s="28">
        <v>304.2</v>
      </c>
      <c r="E53" s="28">
        <v>73.760000000000005</v>
      </c>
      <c r="F53" s="28">
        <v>0.22500000000000001</v>
      </c>
      <c r="G53" s="28">
        <v>15.9696</v>
      </c>
      <c r="H53" s="28">
        <v>3103.39</v>
      </c>
      <c r="I53" s="28">
        <v>0.16</v>
      </c>
      <c r="J53" s="28">
        <v>154</v>
      </c>
      <c r="K53" s="28">
        <v>204</v>
      </c>
    </row>
    <row r="54" spans="1:11" x14ac:dyDescent="0.35">
      <c r="A54" s="28" t="s">
        <v>101</v>
      </c>
      <c r="B54" s="1" t="s">
        <v>141</v>
      </c>
      <c r="C54" s="28">
        <v>76.143000000000001</v>
      </c>
      <c r="D54" s="28">
        <v>552</v>
      </c>
      <c r="E54" s="28">
        <v>79.03</v>
      </c>
      <c r="F54" s="28">
        <v>0.115</v>
      </c>
      <c r="G54" s="28">
        <v>9.3642000000000003</v>
      </c>
      <c r="H54" s="28">
        <v>2690.85</v>
      </c>
      <c r="I54" s="28">
        <v>31.62</v>
      </c>
      <c r="J54" s="28">
        <v>228</v>
      </c>
      <c r="K54" s="28">
        <v>342</v>
      </c>
    </row>
    <row r="55" spans="1:11" x14ac:dyDescent="0.35">
      <c r="A55" s="28" t="s">
        <v>102</v>
      </c>
      <c r="B55" s="1" t="s">
        <v>103</v>
      </c>
      <c r="C55" s="28">
        <v>70.905000000000001</v>
      </c>
      <c r="D55" s="28">
        <v>417</v>
      </c>
      <c r="E55" s="28">
        <v>77.010000000000005</v>
      </c>
      <c r="F55" s="28">
        <v>7.2999999999999995E-2</v>
      </c>
      <c r="G55" s="28">
        <v>9.3407999999999998</v>
      </c>
      <c r="H55" s="28">
        <v>1978.32</v>
      </c>
      <c r="I55" s="28">
        <v>27.01</v>
      </c>
      <c r="J55" s="28">
        <v>172</v>
      </c>
      <c r="K55" s="28">
        <v>264</v>
      </c>
    </row>
    <row r="56" spans="1:11" x14ac:dyDescent="0.35">
      <c r="A56" s="28" t="s">
        <v>104</v>
      </c>
      <c r="B56" s="1" t="s">
        <v>105</v>
      </c>
      <c r="C56" s="28">
        <v>37.997</v>
      </c>
      <c r="D56" s="28">
        <v>144.30000000000001</v>
      </c>
      <c r="E56" s="28">
        <v>52.18</v>
      </c>
      <c r="F56" s="28">
        <v>4.8000000000000001E-2</v>
      </c>
      <c r="G56" s="28">
        <v>9.0497999999999994</v>
      </c>
      <c r="H56" s="28">
        <v>714.1</v>
      </c>
      <c r="I56" s="28">
        <v>6</v>
      </c>
      <c r="J56" s="28">
        <v>59</v>
      </c>
      <c r="K56" s="28">
        <v>91</v>
      </c>
    </row>
    <row r="57" spans="1:11" x14ac:dyDescent="0.35">
      <c r="A57" s="28" t="s">
        <v>106</v>
      </c>
      <c r="B57" s="1" t="s">
        <v>107</v>
      </c>
      <c r="C57" s="28">
        <v>2.016</v>
      </c>
      <c r="D57" s="28">
        <v>33.200000000000003</v>
      </c>
      <c r="E57" s="28">
        <v>12.97</v>
      </c>
      <c r="F57" s="28">
        <v>20.22</v>
      </c>
      <c r="G57" s="28">
        <v>7.0130999999999997</v>
      </c>
      <c r="H57" s="28">
        <v>164.9</v>
      </c>
      <c r="I57" s="28">
        <v>-3.19</v>
      </c>
      <c r="J57" s="28">
        <v>14</v>
      </c>
      <c r="K57" s="28">
        <v>25</v>
      </c>
    </row>
    <row r="58" spans="1:11" x14ac:dyDescent="0.35">
      <c r="A58" s="28" t="s">
        <v>108</v>
      </c>
      <c r="B58" s="1" t="s">
        <v>142</v>
      </c>
      <c r="C58" s="28">
        <v>80.912000000000006</v>
      </c>
      <c r="D58" s="28">
        <v>363.2</v>
      </c>
      <c r="E58" s="28">
        <v>85.52</v>
      </c>
      <c r="F58" s="28">
        <v>6.3E-2</v>
      </c>
      <c r="G58" s="28">
        <v>7.8484999999999996</v>
      </c>
      <c r="H58" s="28">
        <v>1242.53</v>
      </c>
      <c r="I58" s="28">
        <v>47.86</v>
      </c>
      <c r="J58" s="28">
        <v>184</v>
      </c>
      <c r="K58" s="28">
        <v>221</v>
      </c>
    </row>
    <row r="59" spans="1:11" x14ac:dyDescent="0.35">
      <c r="A59" s="28" t="s">
        <v>109</v>
      </c>
      <c r="B59" s="1" t="s">
        <v>143</v>
      </c>
      <c r="C59" s="28">
        <v>27.024999999999999</v>
      </c>
      <c r="D59" s="28">
        <v>456.8</v>
      </c>
      <c r="E59" s="28">
        <v>53.9</v>
      </c>
      <c r="F59" s="28">
        <v>0.40699999999999997</v>
      </c>
      <c r="G59" s="28">
        <v>9.8935999999999993</v>
      </c>
      <c r="H59" s="28">
        <v>2585.8000000000002</v>
      </c>
      <c r="I59" s="28">
        <v>37.15</v>
      </c>
      <c r="J59" s="28">
        <v>234</v>
      </c>
      <c r="K59" s="28">
        <v>330</v>
      </c>
    </row>
    <row r="60" spans="1:11" x14ac:dyDescent="0.35">
      <c r="A60" s="28" t="s">
        <v>110</v>
      </c>
      <c r="B60" s="1" t="s">
        <v>144</v>
      </c>
      <c r="C60" s="28">
        <v>36.460999999999999</v>
      </c>
      <c r="D60" s="28">
        <v>324.60000000000002</v>
      </c>
      <c r="E60" s="28">
        <v>83.09</v>
      </c>
      <c r="F60" s="28">
        <v>0.12</v>
      </c>
      <c r="G60" s="28">
        <v>9.8838000000000008</v>
      </c>
      <c r="H60" s="28">
        <v>1714.25</v>
      </c>
      <c r="I60" s="28">
        <v>14.45</v>
      </c>
      <c r="J60" s="28">
        <v>137</v>
      </c>
      <c r="K60" s="28">
        <v>200</v>
      </c>
    </row>
    <row r="61" spans="1:11" x14ac:dyDescent="0.35">
      <c r="A61" s="28" t="s">
        <v>111</v>
      </c>
      <c r="B61" s="1" t="s">
        <v>112</v>
      </c>
      <c r="C61" s="28">
        <v>18.015000000000001</v>
      </c>
      <c r="D61" s="28">
        <v>647.29999999999995</v>
      </c>
      <c r="E61" s="28">
        <v>220.48</v>
      </c>
      <c r="F61" s="28">
        <v>0.34399999999999997</v>
      </c>
      <c r="G61" s="28">
        <v>11.683400000000001</v>
      </c>
      <c r="H61" s="28">
        <v>3816.44</v>
      </c>
      <c r="I61" s="28">
        <v>46.13</v>
      </c>
      <c r="J61" s="28">
        <v>284</v>
      </c>
      <c r="K61" s="28">
        <v>441</v>
      </c>
    </row>
    <row r="62" spans="1:11" x14ac:dyDescent="0.35">
      <c r="A62" s="28" t="s">
        <v>113</v>
      </c>
      <c r="B62" s="1" t="s">
        <v>145</v>
      </c>
      <c r="C62" s="28">
        <v>34.082000000000001</v>
      </c>
      <c r="D62" s="28">
        <v>373.2</v>
      </c>
      <c r="E62" s="28">
        <v>89.37</v>
      </c>
      <c r="F62" s="28">
        <v>0.1</v>
      </c>
      <c r="G62" s="28">
        <v>9.4838000000000005</v>
      </c>
      <c r="H62" s="28">
        <v>1768.69</v>
      </c>
      <c r="I62" s="28">
        <v>26.06</v>
      </c>
      <c r="J62" s="28">
        <v>190</v>
      </c>
      <c r="K62" s="28">
        <v>230</v>
      </c>
    </row>
    <row r="63" spans="1:11" x14ac:dyDescent="0.35">
      <c r="A63" s="28" t="s">
        <v>114</v>
      </c>
      <c r="B63" s="1" t="s">
        <v>115</v>
      </c>
      <c r="C63" s="28">
        <v>17.030999999999999</v>
      </c>
      <c r="D63" s="28">
        <v>405.6</v>
      </c>
      <c r="E63" s="28">
        <v>112.77</v>
      </c>
      <c r="F63" s="28">
        <v>0.25</v>
      </c>
      <c r="G63" s="28">
        <v>10.3279</v>
      </c>
      <c r="H63" s="28">
        <v>2132.5</v>
      </c>
      <c r="I63" s="28">
        <v>32.979999999999997</v>
      </c>
      <c r="J63" s="28">
        <v>179</v>
      </c>
      <c r="K63" s="28">
        <v>261</v>
      </c>
    </row>
    <row r="64" spans="1:11" x14ac:dyDescent="0.35">
      <c r="A64" s="28" t="s">
        <v>116</v>
      </c>
      <c r="B64" s="1" t="s">
        <v>117</v>
      </c>
      <c r="C64" s="28">
        <v>4.0030000000000001</v>
      </c>
      <c r="D64" s="28">
        <v>5.19</v>
      </c>
      <c r="E64" s="28">
        <v>2.27</v>
      </c>
      <c r="F64" s="28">
        <v>20.387</v>
      </c>
      <c r="G64" s="28">
        <v>5.6311999999999998</v>
      </c>
      <c r="H64" s="28">
        <v>33.732900000000001</v>
      </c>
      <c r="I64" s="28">
        <v>-1.79</v>
      </c>
      <c r="J64" s="28">
        <v>3.7</v>
      </c>
      <c r="K64" s="28">
        <v>4.3</v>
      </c>
    </row>
    <row r="65" spans="1:11" x14ac:dyDescent="0.35">
      <c r="A65" s="28" t="s">
        <v>118</v>
      </c>
      <c r="B65" s="1" t="s">
        <v>146</v>
      </c>
      <c r="C65" s="28">
        <v>20.006</v>
      </c>
      <c r="D65" s="28">
        <v>461</v>
      </c>
      <c r="E65" s="28">
        <v>64.849999999999994</v>
      </c>
      <c r="F65" s="28">
        <v>0.372</v>
      </c>
      <c r="G65" s="28">
        <v>11.0756</v>
      </c>
      <c r="H65" s="28">
        <v>3404.49</v>
      </c>
      <c r="I65" s="28">
        <v>-15.06</v>
      </c>
      <c r="J65" s="28">
        <v>206</v>
      </c>
      <c r="K65" s="28">
        <v>313</v>
      </c>
    </row>
    <row r="66" spans="1:11" x14ac:dyDescent="0.35">
      <c r="A66" s="28" t="s">
        <v>119</v>
      </c>
      <c r="B66" s="1" t="s">
        <v>120</v>
      </c>
      <c r="C66" s="28">
        <v>83.8</v>
      </c>
      <c r="D66" s="28">
        <v>209.4</v>
      </c>
      <c r="E66" s="28">
        <v>55.02</v>
      </c>
      <c r="F66" s="28">
        <v>20.001999999999999</v>
      </c>
      <c r="G66" s="28">
        <v>8.6475000000000009</v>
      </c>
      <c r="H66" s="28">
        <v>958.75</v>
      </c>
      <c r="I66" s="28">
        <v>8.7100000000000009</v>
      </c>
      <c r="J66" s="28">
        <v>113</v>
      </c>
      <c r="K66" s="28">
        <v>129</v>
      </c>
    </row>
    <row r="67" spans="1:11" x14ac:dyDescent="0.35">
      <c r="A67" s="28" t="s">
        <v>121</v>
      </c>
      <c r="B67" s="1" t="s">
        <v>122</v>
      </c>
      <c r="C67" s="28">
        <v>28.013000000000002</v>
      </c>
      <c r="D67" s="28">
        <v>126.2</v>
      </c>
      <c r="E67" s="28">
        <v>33.840000000000003</v>
      </c>
      <c r="F67" s="28">
        <v>3.9E-2</v>
      </c>
      <c r="G67" s="28">
        <v>8.3339999999999996</v>
      </c>
      <c r="H67" s="28">
        <v>588.72</v>
      </c>
      <c r="I67" s="28">
        <v>6.6</v>
      </c>
      <c r="J67" s="28">
        <v>54</v>
      </c>
      <c r="K67" s="28">
        <v>90</v>
      </c>
    </row>
    <row r="68" spans="1:11" x14ac:dyDescent="0.35">
      <c r="A68" s="28" t="s">
        <v>123</v>
      </c>
      <c r="B68" s="1" t="s">
        <v>147</v>
      </c>
      <c r="C68" s="28">
        <v>71.001999999999995</v>
      </c>
      <c r="D68" s="28">
        <v>234</v>
      </c>
      <c r="E68" s="28">
        <v>45.29</v>
      </c>
      <c r="F68" s="28">
        <v>0.13200000000000001</v>
      </c>
      <c r="G68" s="28">
        <v>8.9905000000000008</v>
      </c>
      <c r="H68" s="28">
        <v>1155.69</v>
      </c>
      <c r="I68" s="28">
        <v>15.37</v>
      </c>
      <c r="J68" s="28">
        <v>103</v>
      </c>
      <c r="K68" s="28">
        <v>155</v>
      </c>
    </row>
    <row r="69" spans="1:11" x14ac:dyDescent="0.35">
      <c r="A69" s="28" t="s">
        <v>124</v>
      </c>
      <c r="B69" s="1" t="s">
        <v>148</v>
      </c>
      <c r="C69" s="28">
        <v>44.012999999999998</v>
      </c>
      <c r="D69" s="28">
        <v>309.60000000000002</v>
      </c>
      <c r="E69" s="28">
        <v>72.45</v>
      </c>
      <c r="F69" s="28">
        <v>0.16</v>
      </c>
      <c r="G69" s="28">
        <v>9.5068999999999999</v>
      </c>
      <c r="H69" s="28">
        <v>1506.49</v>
      </c>
      <c r="I69" s="28">
        <v>25.99</v>
      </c>
      <c r="J69" s="28">
        <v>144</v>
      </c>
      <c r="K69" s="28">
        <v>200</v>
      </c>
    </row>
    <row r="70" spans="1:11" x14ac:dyDescent="0.35">
      <c r="A70" s="28" t="s">
        <v>125</v>
      </c>
      <c r="B70" s="1" t="s">
        <v>149</v>
      </c>
      <c r="C70" s="28">
        <v>30.006</v>
      </c>
      <c r="D70" s="28">
        <v>180</v>
      </c>
      <c r="E70" s="28">
        <v>64.849999999999994</v>
      </c>
      <c r="F70" s="28">
        <v>0.60699999999999998</v>
      </c>
      <c r="G70" s="28">
        <v>13.511200000000001</v>
      </c>
      <c r="H70" s="28">
        <v>1572.52</v>
      </c>
      <c r="I70" s="28">
        <v>4.88</v>
      </c>
      <c r="J70" s="28">
        <v>95</v>
      </c>
      <c r="K70" s="28">
        <v>140</v>
      </c>
    </row>
    <row r="71" spans="1:11" x14ac:dyDescent="0.35">
      <c r="A71" s="28" t="s">
        <v>126</v>
      </c>
      <c r="B71" s="1" t="s">
        <v>150</v>
      </c>
      <c r="C71" s="28">
        <v>46.006</v>
      </c>
      <c r="D71" s="28">
        <v>431.4</v>
      </c>
      <c r="E71" s="28">
        <v>101.33</v>
      </c>
      <c r="F71" s="28">
        <v>0.86</v>
      </c>
      <c r="G71" s="28">
        <v>13.9122</v>
      </c>
      <c r="H71" s="28">
        <v>4141.29</v>
      </c>
      <c r="I71" s="28">
        <v>-3.65</v>
      </c>
      <c r="J71" s="28">
        <v>230</v>
      </c>
      <c r="K71" s="28">
        <v>320</v>
      </c>
    </row>
    <row r="72" spans="1:11" x14ac:dyDescent="0.35">
      <c r="A72" s="28" t="s">
        <v>127</v>
      </c>
      <c r="B72" s="1" t="s">
        <v>128</v>
      </c>
      <c r="C72" s="28">
        <v>20.18</v>
      </c>
      <c r="D72" s="28">
        <v>44.4</v>
      </c>
      <c r="E72" s="28">
        <v>27.56</v>
      </c>
      <c r="F72" s="28">
        <v>0</v>
      </c>
      <c r="G72" s="28">
        <v>7.3897000000000004</v>
      </c>
      <c r="H72" s="28">
        <v>180.47</v>
      </c>
      <c r="I72" s="28">
        <v>2.61</v>
      </c>
      <c r="J72" s="28">
        <v>24</v>
      </c>
      <c r="K72" s="28">
        <v>29</v>
      </c>
    </row>
    <row r="73" spans="1:11" x14ac:dyDescent="0.35">
      <c r="A73" s="28" t="s">
        <v>129</v>
      </c>
      <c r="B73" s="1" t="s">
        <v>130</v>
      </c>
      <c r="C73" s="28">
        <v>31.998999999999999</v>
      </c>
      <c r="D73" s="28">
        <v>154.6</v>
      </c>
      <c r="E73" s="28">
        <v>50.46</v>
      </c>
      <c r="F73" s="28">
        <v>2.1000000000000001E-2</v>
      </c>
      <c r="G73" s="28">
        <v>8.7873000000000001</v>
      </c>
      <c r="H73" s="28">
        <v>734.55</v>
      </c>
      <c r="I73" s="28">
        <v>6.45</v>
      </c>
      <c r="J73" s="28">
        <v>63</v>
      </c>
      <c r="K73" s="28">
        <v>100</v>
      </c>
    </row>
    <row r="74" spans="1:11" x14ac:dyDescent="0.35">
      <c r="A74" s="28" t="s">
        <v>131</v>
      </c>
      <c r="B74" s="1" t="s">
        <v>132</v>
      </c>
      <c r="C74" s="28">
        <v>33.997999999999998</v>
      </c>
      <c r="D74" s="28">
        <v>324.45</v>
      </c>
      <c r="E74" s="28">
        <v>65.349999999999994</v>
      </c>
      <c r="F74" s="28">
        <v>4.2000000000000003E-2</v>
      </c>
      <c r="G74" s="28">
        <v>9.27</v>
      </c>
      <c r="H74" s="28">
        <v>1617.91</v>
      </c>
      <c r="I74" s="28">
        <v>11.07</v>
      </c>
      <c r="J74" s="28">
        <v>144</v>
      </c>
      <c r="K74" s="28">
        <v>186</v>
      </c>
    </row>
    <row r="75" spans="1:11" x14ac:dyDescent="0.35">
      <c r="A75" s="28" t="s">
        <v>133</v>
      </c>
      <c r="B75" s="1" t="s">
        <v>152</v>
      </c>
      <c r="C75" s="28">
        <v>146.05600000000001</v>
      </c>
      <c r="D75" s="28">
        <v>318.7</v>
      </c>
      <c r="E75" s="28">
        <v>37.590000000000003</v>
      </c>
      <c r="F75" s="28">
        <v>0.28599999999999998</v>
      </c>
      <c r="G75" s="28">
        <v>12.7583</v>
      </c>
      <c r="H75" s="28">
        <v>2524.7800000000002</v>
      </c>
      <c r="I75" s="28">
        <v>11.16</v>
      </c>
      <c r="J75" s="28">
        <v>159</v>
      </c>
      <c r="K75" s="28">
        <v>220</v>
      </c>
    </row>
    <row r="76" spans="1:11" x14ac:dyDescent="0.35">
      <c r="A76" s="28" t="s">
        <v>134</v>
      </c>
      <c r="B76" s="1" t="s">
        <v>151</v>
      </c>
      <c r="C76" s="28">
        <v>64.064999999999998</v>
      </c>
      <c r="D76" s="28">
        <v>430.8</v>
      </c>
      <c r="E76" s="28">
        <v>78.83</v>
      </c>
      <c r="F76" s="28">
        <v>0.251</v>
      </c>
      <c r="G76" s="28">
        <v>10.1478</v>
      </c>
      <c r="H76" s="28">
        <v>2302.35</v>
      </c>
      <c r="I76" s="28">
        <v>35.97</v>
      </c>
      <c r="J76" s="28">
        <v>195</v>
      </c>
      <c r="K76" s="28">
        <v>280</v>
      </c>
    </row>
    <row r="77" spans="1:11" x14ac:dyDescent="0.35">
      <c r="A77" s="28" t="s">
        <v>155</v>
      </c>
      <c r="B77" s="1" t="s">
        <v>163</v>
      </c>
      <c r="C77" s="28">
        <v>80.063999999999993</v>
      </c>
      <c r="D77" s="28">
        <v>491</v>
      </c>
      <c r="E77" s="28">
        <v>82.07</v>
      </c>
      <c r="F77" s="28">
        <v>0.41</v>
      </c>
      <c r="G77" s="28">
        <v>14.2201</v>
      </c>
      <c r="H77" s="28">
        <v>3995.7</v>
      </c>
      <c r="I77" s="28">
        <v>36.659999999999997</v>
      </c>
      <c r="J77" s="28">
        <v>290</v>
      </c>
      <c r="K77" s="28">
        <v>332</v>
      </c>
    </row>
    <row r="78" spans="1:11" x14ac:dyDescent="0.35">
      <c r="A78" s="28" t="s">
        <v>156</v>
      </c>
      <c r="B78" s="1" t="s">
        <v>157</v>
      </c>
      <c r="C78" s="28">
        <v>135.452</v>
      </c>
      <c r="D78" s="28">
        <v>479</v>
      </c>
      <c r="E78" s="28">
        <v>41.7</v>
      </c>
      <c r="F78" s="28">
        <v>0.20300000000000001</v>
      </c>
      <c r="G78" s="28">
        <v>9.7079000000000004</v>
      </c>
      <c r="H78" s="28">
        <v>2694.02</v>
      </c>
      <c r="I78" s="28">
        <v>27</v>
      </c>
      <c r="J78" s="28">
        <v>275</v>
      </c>
      <c r="K78" s="28">
        <v>305</v>
      </c>
    </row>
    <row r="79" spans="1:11" x14ac:dyDescent="0.35">
      <c r="A79" s="28" t="s">
        <v>158</v>
      </c>
      <c r="B79" s="1" t="s">
        <v>165</v>
      </c>
      <c r="C79" s="28">
        <v>169.89599999999999</v>
      </c>
      <c r="D79" s="28">
        <v>507</v>
      </c>
      <c r="E79" s="28">
        <v>37.49</v>
      </c>
      <c r="F79" s="28">
        <v>0.26400000000000001</v>
      </c>
      <c r="G79" s="28">
        <v>9.1816999999999993</v>
      </c>
      <c r="H79" s="28">
        <v>2634.16</v>
      </c>
      <c r="I79" s="28">
        <v>43.15</v>
      </c>
      <c r="J79" s="28">
        <v>238</v>
      </c>
      <c r="K79" s="28">
        <v>364</v>
      </c>
    </row>
    <row r="80" spans="1:11" x14ac:dyDescent="0.35">
      <c r="A80" s="28" t="s">
        <v>159</v>
      </c>
      <c r="B80" s="1" t="s">
        <v>164</v>
      </c>
      <c r="C80" s="28">
        <v>104.07899999999999</v>
      </c>
      <c r="D80" s="28">
        <v>259.08999999999997</v>
      </c>
      <c r="E80" s="28">
        <v>37.15</v>
      </c>
      <c r="F80" s="28">
        <v>0.45600000000000002</v>
      </c>
      <c r="G80" s="28">
        <v>16.370899999999999</v>
      </c>
      <c r="H80" s="28">
        <v>2810.45</v>
      </c>
      <c r="I80" s="28">
        <v>6.88</v>
      </c>
      <c r="J80" s="28">
        <v>129</v>
      </c>
      <c r="K80" s="28">
        <v>128</v>
      </c>
    </row>
    <row r="81" spans="1:11" x14ac:dyDescent="0.35">
      <c r="A81" s="28" t="s">
        <v>160</v>
      </c>
      <c r="B81" s="1" t="s">
        <v>161</v>
      </c>
      <c r="C81" s="28">
        <v>32.116999999999997</v>
      </c>
      <c r="D81" s="28">
        <v>269.69</v>
      </c>
      <c r="E81" s="28">
        <v>48.43</v>
      </c>
      <c r="F81" s="28">
        <v>8.8999999999999996E-2</v>
      </c>
      <c r="G81" s="28">
        <v>9.7222000000000008</v>
      </c>
      <c r="H81" s="28">
        <v>1620.99</v>
      </c>
      <c r="I81" s="28">
        <v>-5.35</v>
      </c>
      <c r="J81" s="28">
        <v>94</v>
      </c>
      <c r="K81" s="28">
        <v>162</v>
      </c>
    </row>
    <row r="82" spans="1:11" x14ac:dyDescent="0.35">
      <c r="A82" s="28" t="s">
        <v>162</v>
      </c>
      <c r="B82" s="1" t="s">
        <v>166</v>
      </c>
      <c r="C82" s="28">
        <v>297.83</v>
      </c>
      <c r="D82" s="28">
        <v>444</v>
      </c>
      <c r="E82" s="28">
        <v>43.4</v>
      </c>
      <c r="F82" s="28">
        <v>0.23100000000000001</v>
      </c>
      <c r="G82" s="28">
        <v>10.4899</v>
      </c>
      <c r="H82" s="28">
        <v>2351.42</v>
      </c>
      <c r="I82" s="28">
        <v>64.7</v>
      </c>
      <c r="J82" s="28">
        <v>202</v>
      </c>
      <c r="K82" s="28">
        <v>290</v>
      </c>
    </row>
  </sheetData>
  <mergeCells count="9">
    <mergeCell ref="L1:X1"/>
    <mergeCell ref="N33:O33"/>
    <mergeCell ref="N34:O34"/>
    <mergeCell ref="M36:M37"/>
    <mergeCell ref="N36:N37"/>
    <mergeCell ref="M6:N6"/>
    <mergeCell ref="M7:N7"/>
    <mergeCell ref="M20:O20"/>
    <mergeCell ref="M21:O21"/>
  </mergeCells>
  <dataValidations disablePrompts="1" count="1">
    <dataValidation type="list" allowBlank="1" showInputMessage="1" showErrorMessage="1" sqref="N34:O34" xr:uid="{52BC172F-713C-4FEC-A028-9BE07934F052}">
      <formula1>$B$2:$B$76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8F53-6168-4404-8A91-0F8B52BE97CE}">
  <sheetPr codeName="Sheet2"/>
  <dimension ref="A1:U105"/>
  <sheetViews>
    <sheetView topLeftCell="B1" zoomScale="80" zoomScaleNormal="80" workbookViewId="0">
      <pane ySplit="1" topLeftCell="A29" activePane="bottomLeft" state="frozen"/>
      <selection pane="bottomLeft" activeCell="B102" sqref="B102"/>
    </sheetView>
  </sheetViews>
  <sheetFormatPr defaultRowHeight="14.5" x14ac:dyDescent="0.35"/>
  <cols>
    <col min="1" max="1" width="8.7265625" style="6"/>
    <col min="2" max="2" width="23.54296875" style="6" customWidth="1"/>
    <col min="3" max="12" width="8.7265625" style="6"/>
    <col min="13" max="13" width="26.08984375" style="6" customWidth="1"/>
    <col min="14" max="14" width="8.7265625" style="6"/>
    <col min="15" max="15" width="9.81640625" style="6" bestFit="1" customWidth="1"/>
    <col min="16" max="16" width="11.81640625" style="6" bestFit="1" customWidth="1"/>
    <col min="17" max="16384" width="8.7265625" style="6"/>
  </cols>
  <sheetData>
    <row r="1" spans="1:21" s="71" customFormat="1" ht="29.5" customHeight="1" thickBot="1" x14ac:dyDescent="0.4">
      <c r="A1" s="72" t="s">
        <v>0</v>
      </c>
      <c r="B1" s="76" t="s">
        <v>1</v>
      </c>
      <c r="C1" s="72" t="s">
        <v>6</v>
      </c>
      <c r="D1" s="72" t="s">
        <v>7</v>
      </c>
      <c r="E1" s="72" t="s">
        <v>8</v>
      </c>
      <c r="F1" s="72" t="s">
        <v>178</v>
      </c>
      <c r="G1" s="72" t="s">
        <v>179</v>
      </c>
      <c r="H1" s="72" t="s">
        <v>10</v>
      </c>
      <c r="I1" s="72" t="s">
        <v>9</v>
      </c>
      <c r="J1" s="139" t="s">
        <v>257</v>
      </c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75"/>
    </row>
    <row r="2" spans="1:21" s="7" customFormat="1" ht="14.5" customHeight="1" x14ac:dyDescent="0.35">
      <c r="A2" s="68" t="s">
        <v>11</v>
      </c>
      <c r="B2" s="68" t="s">
        <v>12</v>
      </c>
      <c r="C2" s="68">
        <v>2.2639999999999998</v>
      </c>
      <c r="D2" s="68">
        <v>7.0220000000000002</v>
      </c>
      <c r="E2" s="68">
        <v>-1.877</v>
      </c>
      <c r="F2" s="68"/>
      <c r="G2" s="68"/>
      <c r="H2" s="68">
        <v>298</v>
      </c>
      <c r="I2" s="68">
        <v>1500</v>
      </c>
      <c r="J2" s="70"/>
      <c r="K2" s="70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s="7" customFormat="1" x14ac:dyDescent="0.35">
      <c r="A3" s="28" t="s">
        <v>13</v>
      </c>
      <c r="B3" s="28" t="s">
        <v>14</v>
      </c>
      <c r="C3" s="28">
        <v>1.702</v>
      </c>
      <c r="D3" s="28">
        <v>9.0809999999999995</v>
      </c>
      <c r="E3" s="28">
        <v>-2.1640000000000001</v>
      </c>
      <c r="F3" s="28"/>
      <c r="G3" s="28"/>
      <c r="H3" s="28">
        <v>298</v>
      </c>
      <c r="I3" s="28">
        <v>1500</v>
      </c>
    </row>
    <row r="4" spans="1:21" x14ac:dyDescent="0.35">
      <c r="A4" s="68" t="s">
        <v>15</v>
      </c>
      <c r="B4" s="74" t="s">
        <v>16</v>
      </c>
      <c r="C4" s="68">
        <v>2.2109999999999999</v>
      </c>
      <c r="D4" s="68">
        <v>12.215999999999999</v>
      </c>
      <c r="E4" s="68">
        <v>-3.45</v>
      </c>
      <c r="F4" s="68"/>
      <c r="G4" s="68"/>
      <c r="H4" s="68">
        <v>298</v>
      </c>
      <c r="I4" s="68">
        <v>1500</v>
      </c>
    </row>
    <row r="5" spans="1:21" ht="15" thickBot="1" x14ac:dyDescent="0.4">
      <c r="A5" s="28" t="s">
        <v>169</v>
      </c>
      <c r="B5" s="29" t="s">
        <v>18</v>
      </c>
      <c r="C5" s="28">
        <v>6.1319999999999997</v>
      </c>
      <c r="D5" s="28">
        <v>1.952</v>
      </c>
      <c r="E5" s="28"/>
      <c r="F5" s="28">
        <v>-1.2989999999999999</v>
      </c>
      <c r="G5" s="28"/>
      <c r="H5" s="28">
        <v>298</v>
      </c>
      <c r="I5" s="28">
        <v>1500</v>
      </c>
    </row>
    <row r="6" spans="1:21" x14ac:dyDescent="0.35">
      <c r="A6" s="28" t="s">
        <v>17</v>
      </c>
      <c r="B6" s="29" t="s">
        <v>21</v>
      </c>
      <c r="C6" s="28">
        <v>1.4239999999999999</v>
      </c>
      <c r="D6" s="28">
        <v>14.394</v>
      </c>
      <c r="E6" s="28">
        <v>-4.3920000000000003</v>
      </c>
      <c r="F6" s="28"/>
      <c r="G6" s="28"/>
      <c r="H6" s="28">
        <v>298</v>
      </c>
      <c r="I6" s="28">
        <v>1500</v>
      </c>
      <c r="K6" s="20" t="s">
        <v>224</v>
      </c>
      <c r="M6" s="20" t="s">
        <v>1</v>
      </c>
      <c r="O6" s="12" t="s">
        <v>6</v>
      </c>
      <c r="P6" s="13" t="s">
        <v>7</v>
      </c>
      <c r="Q6" s="13" t="s">
        <v>8</v>
      </c>
      <c r="R6" s="13" t="s">
        <v>178</v>
      </c>
      <c r="S6" s="14" t="s">
        <v>179</v>
      </c>
    </row>
    <row r="7" spans="1:21" ht="15" thickBot="1" x14ac:dyDescent="0.4">
      <c r="A7" s="28" t="s">
        <v>22</v>
      </c>
      <c r="B7" s="29" t="s">
        <v>23</v>
      </c>
      <c r="C7" s="28">
        <v>1.6930000000000001</v>
      </c>
      <c r="D7" s="28">
        <v>17.978000000000002</v>
      </c>
      <c r="E7" s="28">
        <v>-6.1580000000000004</v>
      </c>
      <c r="F7" s="28"/>
      <c r="G7" s="28"/>
      <c r="H7" s="28">
        <v>298</v>
      </c>
      <c r="I7" s="28">
        <v>1000</v>
      </c>
      <c r="K7" s="23">
        <v>298</v>
      </c>
      <c r="M7" s="22" t="s">
        <v>112</v>
      </c>
      <c r="O7" s="15">
        <f>VLOOKUP($M$7, $B$2:$I$105, 2, FALSE)</f>
        <v>3.47</v>
      </c>
      <c r="P7" s="16">
        <f>VLOOKUP($M$7, $B$2:$I$105, 3, FALSE) * 10^-3</f>
        <v>1.4499999999999999E-3</v>
      </c>
      <c r="Q7" s="16">
        <f>VLOOKUP($M$7, $B$2:$I$105, 4, FALSE) * 10^-6</f>
        <v>0</v>
      </c>
      <c r="R7" s="16">
        <f>VLOOKUP($M$7, $B$2:$I$105, 5, FALSE)*10^5</f>
        <v>12100</v>
      </c>
      <c r="S7" s="17">
        <f>VLOOKUP($M$7, $B$2:$I$105, 6, FALSE)*10^-9</f>
        <v>0</v>
      </c>
    </row>
    <row r="8" spans="1:21" ht="15" thickBot="1" x14ac:dyDescent="0.4">
      <c r="A8" s="28" t="s">
        <v>22</v>
      </c>
      <c r="B8" s="29" t="s">
        <v>62</v>
      </c>
      <c r="C8" s="28">
        <v>-0.38500000000000001</v>
      </c>
      <c r="D8" s="28">
        <v>23.463000000000001</v>
      </c>
      <c r="E8" s="28">
        <v>-9.2959999999999994</v>
      </c>
      <c r="F8" s="28"/>
      <c r="G8" s="28"/>
      <c r="H8" s="28">
        <v>298</v>
      </c>
      <c r="I8" s="28">
        <v>1000</v>
      </c>
      <c r="K8" s="21" t="s">
        <v>223</v>
      </c>
    </row>
    <row r="9" spans="1:21" ht="15" thickBot="1" x14ac:dyDescent="0.4">
      <c r="A9" s="28" t="s">
        <v>25</v>
      </c>
      <c r="B9" s="29" t="s">
        <v>26</v>
      </c>
      <c r="C9" s="28">
        <v>1.131</v>
      </c>
      <c r="D9" s="28">
        <v>19.225000000000001</v>
      </c>
      <c r="E9" s="28">
        <v>-5.5609999999999999</v>
      </c>
      <c r="F9" s="28"/>
      <c r="G9" s="28"/>
      <c r="H9" s="28">
        <v>298</v>
      </c>
      <c r="I9" s="28">
        <v>1500</v>
      </c>
      <c r="K9" s="22">
        <v>323</v>
      </c>
      <c r="M9" s="24" t="s">
        <v>254</v>
      </c>
      <c r="O9" s="12" t="s">
        <v>10</v>
      </c>
      <c r="P9" s="14" t="s">
        <v>9</v>
      </c>
      <c r="R9" s="10" t="s">
        <v>249</v>
      </c>
    </row>
    <row r="10" spans="1:21" ht="15" thickBot="1" x14ac:dyDescent="0.4">
      <c r="A10" s="28" t="s">
        <v>27</v>
      </c>
      <c r="B10" s="29" t="s">
        <v>28</v>
      </c>
      <c r="C10" s="28">
        <v>3.5179999999999998</v>
      </c>
      <c r="D10" s="28">
        <v>20.001000000000001</v>
      </c>
      <c r="E10" s="28">
        <v>-6.0019999999999998</v>
      </c>
      <c r="F10" s="28"/>
      <c r="G10" s="28"/>
      <c r="H10" s="28">
        <v>298</v>
      </c>
      <c r="I10" s="28">
        <v>1500</v>
      </c>
      <c r="M10" s="26">
        <f xml:space="preserve"> (O7*(K9-K7) + P7*(K9^2-K7^2)/2 + Q7*(K9^3-K7^3)/3 - R7*(K9^-1 - K7^-1) + S7*(K9^4 - K7^4)/4) * R10</f>
        <v>840.94739467063698</v>
      </c>
      <c r="O10" s="18">
        <f>VLOOKUP($M$7, $B$2:$I$105, 7, FALSE)</f>
        <v>298</v>
      </c>
      <c r="P10" s="19">
        <f>VLOOKUP($M$7, $B$2:$I$105, 8, FALSE)</f>
        <v>2000</v>
      </c>
      <c r="R10" s="11">
        <v>8.3140000000000001</v>
      </c>
    </row>
    <row r="11" spans="1:21" x14ac:dyDescent="0.35">
      <c r="A11" s="28" t="s">
        <v>29</v>
      </c>
      <c r="B11" s="29" t="s">
        <v>30</v>
      </c>
      <c r="C11" s="28">
        <v>1.637</v>
      </c>
      <c r="D11" s="28">
        <v>22.706</v>
      </c>
      <c r="E11" s="28">
        <v>-6.915</v>
      </c>
      <c r="F11" s="28"/>
      <c r="G11" s="28"/>
      <c r="H11" s="28">
        <v>298</v>
      </c>
      <c r="I11" s="28">
        <v>1500</v>
      </c>
      <c r="M11" s="25" t="s">
        <v>255</v>
      </c>
    </row>
    <row r="12" spans="1:21" ht="15" thickBot="1" x14ac:dyDescent="0.4">
      <c r="A12" s="28" t="s">
        <v>33</v>
      </c>
      <c r="B12" s="29" t="s">
        <v>34</v>
      </c>
      <c r="C12" s="28">
        <v>1.2130000000000001</v>
      </c>
      <c r="D12" s="28">
        <v>28.785</v>
      </c>
      <c r="E12" s="28">
        <v>-8.8239999999999998</v>
      </c>
      <c r="F12" s="28"/>
      <c r="G12" s="28"/>
      <c r="H12" s="28">
        <v>298</v>
      </c>
      <c r="I12" s="28">
        <v>1500</v>
      </c>
      <c r="M12" s="27">
        <f xml:space="preserve"> M10/1000</f>
        <v>0.84094739467063695</v>
      </c>
    </row>
    <row r="13" spans="1:21" x14ac:dyDescent="0.35">
      <c r="A13" s="28" t="s">
        <v>37</v>
      </c>
      <c r="B13" s="29" t="s">
        <v>38</v>
      </c>
      <c r="C13" s="28">
        <v>2.734</v>
      </c>
      <c r="D13" s="28">
        <v>26.786000000000001</v>
      </c>
      <c r="E13" s="28">
        <v>-8.8819999999999997</v>
      </c>
      <c r="F13" s="28"/>
      <c r="G13" s="28"/>
      <c r="H13" s="28">
        <v>298</v>
      </c>
      <c r="I13" s="28">
        <v>1500</v>
      </c>
    </row>
    <row r="14" spans="1:21" x14ac:dyDescent="0.35">
      <c r="A14" s="28" t="s">
        <v>39</v>
      </c>
      <c r="B14" s="29" t="s">
        <v>170</v>
      </c>
      <c r="C14" s="28">
        <v>1.9670000000000001</v>
      </c>
      <c r="D14" s="28">
        <v>31.63</v>
      </c>
      <c r="E14" s="28">
        <v>-9.8729999999999993</v>
      </c>
      <c r="F14" s="28"/>
      <c r="G14" s="28"/>
      <c r="H14" s="28">
        <v>298</v>
      </c>
      <c r="I14" s="28">
        <v>1500</v>
      </c>
    </row>
    <row r="15" spans="1:21" x14ac:dyDescent="0.35">
      <c r="A15" s="28" t="s">
        <v>43</v>
      </c>
      <c r="B15" s="29" t="s">
        <v>44</v>
      </c>
      <c r="C15" s="28">
        <v>1.9350000000000001</v>
      </c>
      <c r="D15" s="28">
        <v>36.914999999999999</v>
      </c>
      <c r="E15" s="28">
        <v>-11.401999999999999</v>
      </c>
      <c r="F15" s="28"/>
      <c r="G15" s="28"/>
      <c r="H15" s="28">
        <v>298</v>
      </c>
      <c r="I15" s="28">
        <v>1500</v>
      </c>
    </row>
    <row r="16" spans="1:21" x14ac:dyDescent="0.35">
      <c r="A16" s="28" t="s">
        <v>43</v>
      </c>
      <c r="B16" s="29" t="s">
        <v>45</v>
      </c>
      <c r="C16" s="28">
        <v>1.677</v>
      </c>
      <c r="D16" s="28">
        <v>37.853000000000002</v>
      </c>
      <c r="E16" s="28">
        <v>-11.945</v>
      </c>
      <c r="F16" s="28"/>
      <c r="G16" s="28"/>
      <c r="H16" s="28">
        <v>298</v>
      </c>
      <c r="I16" s="28">
        <v>1500</v>
      </c>
    </row>
    <row r="17" spans="1:13" x14ac:dyDescent="0.35">
      <c r="A17" s="28" t="s">
        <v>48</v>
      </c>
      <c r="B17" s="29" t="s">
        <v>49</v>
      </c>
      <c r="C17" s="28">
        <v>2.6909999999999998</v>
      </c>
      <c r="D17" s="28">
        <v>39.753</v>
      </c>
      <c r="E17" s="28">
        <v>-12.446999999999999</v>
      </c>
      <c r="F17" s="28"/>
      <c r="G17" s="28"/>
      <c r="H17" s="28">
        <v>298</v>
      </c>
      <c r="I17" s="28">
        <v>1500</v>
      </c>
    </row>
    <row r="18" spans="1:13" ht="15" thickBot="1" x14ac:dyDescent="0.4">
      <c r="A18" s="28" t="s">
        <v>50</v>
      </c>
      <c r="B18" s="29" t="s">
        <v>51</v>
      </c>
      <c r="C18" s="28">
        <v>2.464</v>
      </c>
      <c r="D18" s="28">
        <v>45.350999999999999</v>
      </c>
      <c r="E18" s="28">
        <v>-14.111000000000001</v>
      </c>
      <c r="F18" s="28"/>
      <c r="G18" s="28"/>
      <c r="H18" s="28">
        <v>298</v>
      </c>
      <c r="I18" s="28">
        <v>1500</v>
      </c>
    </row>
    <row r="19" spans="1:13" x14ac:dyDescent="0.35">
      <c r="A19" s="28" t="s">
        <v>52</v>
      </c>
      <c r="B19" s="29" t="s">
        <v>53</v>
      </c>
      <c r="C19" s="28">
        <v>-0.20599999999999999</v>
      </c>
      <c r="D19" s="28">
        <v>39.064</v>
      </c>
      <c r="E19" s="28">
        <v>-13.301</v>
      </c>
      <c r="F19" s="28"/>
      <c r="G19" s="28"/>
      <c r="H19" s="28">
        <v>298</v>
      </c>
      <c r="I19" s="28">
        <v>1500</v>
      </c>
      <c r="K19" s="151" t="s">
        <v>346</v>
      </c>
      <c r="L19" s="152"/>
      <c r="M19" s="153"/>
    </row>
    <row r="20" spans="1:13" ht="15" thickBot="1" x14ac:dyDescent="0.4">
      <c r="A20" s="28" t="s">
        <v>58</v>
      </c>
      <c r="B20" s="29" t="s">
        <v>59</v>
      </c>
      <c r="C20" s="28">
        <v>-3.8759999999999999</v>
      </c>
      <c r="D20" s="28">
        <v>63.249000000000002</v>
      </c>
      <c r="E20" s="28">
        <v>-20.928000000000001</v>
      </c>
      <c r="F20" s="28"/>
      <c r="G20" s="28"/>
      <c r="H20" s="28">
        <v>298</v>
      </c>
      <c r="I20" s="28">
        <v>1500</v>
      </c>
      <c r="K20" s="154" t="s">
        <v>348</v>
      </c>
      <c r="L20" s="155"/>
      <c r="M20" s="156"/>
    </row>
    <row r="21" spans="1:13" x14ac:dyDescent="0.35">
      <c r="A21" s="28" t="s">
        <v>58</v>
      </c>
      <c r="B21" s="29" t="s">
        <v>60</v>
      </c>
      <c r="C21" s="28">
        <v>3.22</v>
      </c>
      <c r="D21" s="28">
        <v>48.189</v>
      </c>
      <c r="E21" s="28">
        <v>-15.157</v>
      </c>
      <c r="F21" s="28"/>
      <c r="G21" s="28"/>
      <c r="H21" s="28">
        <v>298</v>
      </c>
      <c r="I21" s="28">
        <v>1500</v>
      </c>
    </row>
    <row r="22" spans="1:13" x14ac:dyDescent="0.35">
      <c r="A22" s="28" t="s">
        <v>171</v>
      </c>
      <c r="B22" s="29" t="s">
        <v>172</v>
      </c>
      <c r="C22" s="28">
        <v>3.0249999999999999</v>
      </c>
      <c r="D22" s="28">
        <v>53.722000000000001</v>
      </c>
      <c r="E22" s="28">
        <v>-16.791</v>
      </c>
      <c r="F22" s="28"/>
      <c r="G22" s="28"/>
      <c r="H22" s="28">
        <v>298</v>
      </c>
      <c r="I22" s="28">
        <v>1500</v>
      </c>
    </row>
    <row r="23" spans="1:13" x14ac:dyDescent="0.35">
      <c r="A23" s="28" t="s">
        <v>64</v>
      </c>
      <c r="B23" s="29" t="s">
        <v>65</v>
      </c>
      <c r="C23" s="28">
        <v>0.28999999999999998</v>
      </c>
      <c r="D23" s="28">
        <v>47.052</v>
      </c>
      <c r="E23" s="28">
        <v>-15.715999999999999</v>
      </c>
      <c r="F23" s="28"/>
      <c r="G23" s="28"/>
      <c r="H23" s="28">
        <v>298</v>
      </c>
      <c r="I23" s="28">
        <v>1500</v>
      </c>
    </row>
    <row r="24" spans="1:13" x14ac:dyDescent="0.35">
      <c r="A24" s="28" t="s">
        <v>66</v>
      </c>
      <c r="B24" s="29" t="s">
        <v>67</v>
      </c>
      <c r="C24" s="28">
        <v>3.7679999999999998</v>
      </c>
      <c r="D24" s="28">
        <v>56.588000000000001</v>
      </c>
      <c r="E24" s="28">
        <v>-17.847000000000001</v>
      </c>
      <c r="F24" s="28"/>
      <c r="G24" s="28"/>
      <c r="H24" s="28">
        <v>298</v>
      </c>
      <c r="I24" s="28">
        <v>1500</v>
      </c>
    </row>
    <row r="25" spans="1:13" x14ac:dyDescent="0.35">
      <c r="A25" s="28" t="s">
        <v>68</v>
      </c>
      <c r="B25" s="29" t="s">
        <v>69</v>
      </c>
      <c r="C25" s="28">
        <v>3.57</v>
      </c>
      <c r="D25" s="28">
        <v>62.127000000000002</v>
      </c>
      <c r="E25" s="28">
        <v>-19.468</v>
      </c>
      <c r="F25" s="28"/>
      <c r="G25" s="28"/>
      <c r="H25" s="28">
        <v>298</v>
      </c>
      <c r="I25" s="28">
        <v>1500</v>
      </c>
    </row>
    <row r="26" spans="1:13" x14ac:dyDescent="0.35">
      <c r="A26" s="28" t="s">
        <v>70</v>
      </c>
      <c r="B26" s="29" t="s">
        <v>71</v>
      </c>
      <c r="C26" s="28">
        <v>2.0499999999999998</v>
      </c>
      <c r="D26" s="28">
        <v>50.192</v>
      </c>
      <c r="E26" s="28">
        <v>-16.661999999999999</v>
      </c>
      <c r="F26" s="28"/>
      <c r="G26" s="28"/>
      <c r="H26" s="28">
        <v>298</v>
      </c>
      <c r="I26" s="28">
        <v>1500</v>
      </c>
    </row>
    <row r="27" spans="1:13" x14ac:dyDescent="0.35">
      <c r="A27" s="28" t="s">
        <v>72</v>
      </c>
      <c r="B27" s="29" t="s">
        <v>76</v>
      </c>
      <c r="C27" s="28">
        <v>1.1240000000000001</v>
      </c>
      <c r="D27" s="28">
        <v>55.38</v>
      </c>
      <c r="E27" s="28">
        <v>-18.475999999999999</v>
      </c>
      <c r="F27" s="28"/>
      <c r="G27" s="28"/>
      <c r="H27" s="28">
        <v>298</v>
      </c>
      <c r="I27" s="28">
        <v>1500</v>
      </c>
    </row>
    <row r="28" spans="1:13" x14ac:dyDescent="0.35">
      <c r="A28" s="28" t="s">
        <v>77</v>
      </c>
      <c r="B28" s="29" t="s">
        <v>78</v>
      </c>
      <c r="C28" s="28">
        <v>4.3239999999999998</v>
      </c>
      <c r="D28" s="28">
        <v>64.959999999999994</v>
      </c>
      <c r="E28" s="28">
        <v>-20.521000000000001</v>
      </c>
      <c r="F28" s="28"/>
      <c r="G28" s="28"/>
      <c r="H28" s="28">
        <v>298</v>
      </c>
      <c r="I28" s="28">
        <v>1500</v>
      </c>
    </row>
    <row r="29" spans="1:13" x14ac:dyDescent="0.35">
      <c r="A29" s="28" t="s">
        <v>79</v>
      </c>
      <c r="B29" s="29" t="s">
        <v>80</v>
      </c>
      <c r="C29" s="28">
        <v>8.1630000000000003</v>
      </c>
      <c r="D29" s="28">
        <v>70.566999999999993</v>
      </c>
      <c r="E29" s="28">
        <v>-22.207999999999998</v>
      </c>
      <c r="F29" s="28"/>
      <c r="G29" s="28"/>
      <c r="H29" s="28">
        <v>298</v>
      </c>
      <c r="I29" s="28">
        <v>1500</v>
      </c>
    </row>
    <row r="30" spans="1:13" x14ac:dyDescent="0.35">
      <c r="A30" s="28"/>
      <c r="B30" s="29" t="s">
        <v>173</v>
      </c>
      <c r="C30" s="28">
        <v>3.355</v>
      </c>
      <c r="D30" s="28">
        <v>0.57499999999999996</v>
      </c>
      <c r="E30" s="28"/>
      <c r="F30" s="28">
        <v>-1.6E-2</v>
      </c>
      <c r="G30" s="28"/>
      <c r="H30" s="28">
        <v>298</v>
      </c>
      <c r="I30" s="28">
        <v>2000</v>
      </c>
    </row>
    <row r="31" spans="1:13" x14ac:dyDescent="0.35">
      <c r="A31" s="28" t="s">
        <v>89</v>
      </c>
      <c r="B31" s="29" t="s">
        <v>225</v>
      </c>
      <c r="C31" s="28">
        <v>4.2450000000000001</v>
      </c>
      <c r="D31" s="28">
        <v>16.539000000000001</v>
      </c>
      <c r="E31" s="28">
        <v>-18.969000000000001</v>
      </c>
      <c r="F31" s="28">
        <v>-0.17599999999999999</v>
      </c>
      <c r="G31" s="28">
        <v>8.0310000000000006</v>
      </c>
      <c r="H31" s="28">
        <v>298</v>
      </c>
      <c r="I31" s="28">
        <v>700</v>
      </c>
    </row>
    <row r="32" spans="1:13" x14ac:dyDescent="0.35">
      <c r="A32" s="28"/>
      <c r="B32" s="29" t="s">
        <v>226</v>
      </c>
      <c r="C32" s="28">
        <v>9.8819999999999997</v>
      </c>
      <c r="D32" s="28">
        <v>7.8E-2</v>
      </c>
      <c r="E32" s="28">
        <v>-1.7999999999999999E-2</v>
      </c>
      <c r="F32" s="28">
        <v>-3.3740000000000001</v>
      </c>
      <c r="G32" s="28">
        <v>1E-3</v>
      </c>
      <c r="H32" s="28">
        <v>700</v>
      </c>
      <c r="I32" s="28">
        <v>6000</v>
      </c>
    </row>
    <row r="33" spans="1:9" x14ac:dyDescent="0.35">
      <c r="A33" s="28" t="s">
        <v>90</v>
      </c>
      <c r="B33" s="29" t="s">
        <v>227</v>
      </c>
      <c r="C33" s="28">
        <v>-1.494</v>
      </c>
      <c r="D33" s="28">
        <v>32.188000000000002</v>
      </c>
      <c r="E33" s="28">
        <v>-18.314</v>
      </c>
      <c r="F33" s="28">
        <v>0.36099999999999999</v>
      </c>
      <c r="G33" s="28">
        <v>3.988</v>
      </c>
      <c r="H33" s="28">
        <v>298</v>
      </c>
      <c r="I33" s="28">
        <v>1200</v>
      </c>
    </row>
    <row r="34" spans="1:9" x14ac:dyDescent="0.35">
      <c r="A34" s="28"/>
      <c r="B34" s="29" t="s">
        <v>228</v>
      </c>
      <c r="C34" s="28">
        <v>19.440000000000001</v>
      </c>
      <c r="D34" s="28">
        <v>1.351</v>
      </c>
      <c r="E34" s="28">
        <v>-0.26200000000000001</v>
      </c>
      <c r="F34" s="28">
        <v>-44.223999999999997</v>
      </c>
      <c r="G34" s="28">
        <v>1.7999999999999999E-2</v>
      </c>
      <c r="H34" s="28">
        <v>1200</v>
      </c>
      <c r="I34" s="28">
        <v>6000</v>
      </c>
    </row>
    <row r="35" spans="1:9" x14ac:dyDescent="0.35">
      <c r="A35" s="28" t="s">
        <v>92</v>
      </c>
      <c r="B35" s="29" t="s">
        <v>93</v>
      </c>
      <c r="C35" s="28">
        <v>4.4930000000000003</v>
      </c>
      <c r="D35" s="28">
        <v>5.6000000000000001E-2</v>
      </c>
      <c r="E35" s="28"/>
      <c r="F35" s="28">
        <v>-0.154</v>
      </c>
      <c r="G35" s="28"/>
      <c r="H35" s="28">
        <v>298</v>
      </c>
      <c r="I35" s="28">
        <v>3000</v>
      </c>
    </row>
    <row r="36" spans="1:9" x14ac:dyDescent="0.35">
      <c r="A36" s="28" t="s">
        <v>95</v>
      </c>
      <c r="B36" s="29" t="s">
        <v>229</v>
      </c>
      <c r="C36" s="28">
        <v>1.921</v>
      </c>
      <c r="D36" s="28">
        <v>25.298999999999999</v>
      </c>
      <c r="E36" s="28">
        <v>-22.789000000000001</v>
      </c>
      <c r="F36" s="28">
        <v>-0.26100000000000001</v>
      </c>
      <c r="G36" s="28">
        <v>7.4820000000000002</v>
      </c>
      <c r="H36" s="28">
        <v>298</v>
      </c>
      <c r="I36" s="28">
        <v>1000</v>
      </c>
    </row>
    <row r="37" spans="1:9" x14ac:dyDescent="0.35">
      <c r="A37" s="28"/>
      <c r="B37" s="29" t="s">
        <v>230</v>
      </c>
      <c r="C37" s="28">
        <v>12.776</v>
      </c>
      <c r="D37" s="28">
        <v>0.129</v>
      </c>
      <c r="E37" s="28">
        <v>-2.7E-2</v>
      </c>
      <c r="F37" s="28">
        <v>-10.032</v>
      </c>
      <c r="G37" s="28">
        <v>2E-3</v>
      </c>
      <c r="H37" s="28">
        <v>1000</v>
      </c>
      <c r="I37" s="28">
        <v>6000</v>
      </c>
    </row>
    <row r="38" spans="1:9" x14ac:dyDescent="0.35">
      <c r="A38" s="28" t="s">
        <v>99</v>
      </c>
      <c r="B38" s="29" t="s">
        <v>139</v>
      </c>
      <c r="C38" s="28">
        <v>3.3759999999999999</v>
      </c>
      <c r="D38" s="28">
        <v>0.55700000000000005</v>
      </c>
      <c r="E38" s="28"/>
      <c r="F38" s="28">
        <v>-3.1E-2</v>
      </c>
      <c r="G38" s="28"/>
      <c r="H38" s="28">
        <v>298</v>
      </c>
      <c r="I38" s="28">
        <v>2500</v>
      </c>
    </row>
    <row r="39" spans="1:9" x14ac:dyDescent="0.35">
      <c r="A39" s="28" t="s">
        <v>100</v>
      </c>
      <c r="B39" s="29" t="s">
        <v>140</v>
      </c>
      <c r="C39" s="28">
        <v>5.4569999999999999</v>
      </c>
      <c r="D39" s="28">
        <v>1.0449999999999999</v>
      </c>
      <c r="E39" s="28"/>
      <c r="F39" s="28">
        <v>-1.157</v>
      </c>
      <c r="G39" s="28"/>
      <c r="H39" s="28">
        <v>298</v>
      </c>
      <c r="I39" s="28">
        <v>2000</v>
      </c>
    </row>
    <row r="40" spans="1:9" x14ac:dyDescent="0.35">
      <c r="A40" s="28" t="s">
        <v>101</v>
      </c>
      <c r="B40" s="29" t="s">
        <v>141</v>
      </c>
      <c r="C40" s="28">
        <v>6.3109999999999999</v>
      </c>
      <c r="D40" s="28">
        <v>0.80500000000000005</v>
      </c>
      <c r="E40" s="28"/>
      <c r="F40" s="28">
        <v>-0.90600000000000003</v>
      </c>
      <c r="G40" s="28"/>
      <c r="H40" s="28">
        <v>298</v>
      </c>
      <c r="I40" s="28">
        <v>1800</v>
      </c>
    </row>
    <row r="41" spans="1:9" x14ac:dyDescent="0.35">
      <c r="A41" s="28" t="s">
        <v>96</v>
      </c>
      <c r="B41" s="29" t="s">
        <v>231</v>
      </c>
      <c r="C41" s="28">
        <v>8.3889999999999993</v>
      </c>
      <c r="D41" s="28">
        <v>27.106000000000002</v>
      </c>
      <c r="E41" s="28">
        <v>-20.948</v>
      </c>
      <c r="F41" s="28">
        <v>-1.7509999999999999</v>
      </c>
      <c r="G41" s="28">
        <v>5.6710000000000003</v>
      </c>
      <c r="H41" s="28">
        <v>298</v>
      </c>
      <c r="I41" s="28">
        <v>1400</v>
      </c>
    </row>
    <row r="42" spans="1:9" x14ac:dyDescent="0.35">
      <c r="A42" s="28"/>
      <c r="B42" s="29" t="s">
        <v>232</v>
      </c>
      <c r="C42" s="28">
        <v>21.283999999999999</v>
      </c>
      <c r="D42" s="28">
        <v>0.123</v>
      </c>
      <c r="E42" s="28">
        <v>-2.3E-2</v>
      </c>
      <c r="F42" s="28">
        <v>-13.446999999999999</v>
      </c>
      <c r="G42" s="28">
        <v>1E-3</v>
      </c>
      <c r="H42" s="28">
        <v>1400</v>
      </c>
      <c r="I42" s="28">
        <v>6000</v>
      </c>
    </row>
    <row r="43" spans="1:9" x14ac:dyDescent="0.35">
      <c r="A43" s="28" t="s">
        <v>102</v>
      </c>
      <c r="B43" s="29" t="s">
        <v>103</v>
      </c>
      <c r="C43" s="28">
        <v>4.4420000000000002</v>
      </c>
      <c r="D43" s="28">
        <v>8.8999999999999996E-2</v>
      </c>
      <c r="E43" s="28"/>
      <c r="F43" s="28">
        <v>-0.34399999999999997</v>
      </c>
      <c r="G43" s="28"/>
      <c r="H43" s="28">
        <v>298</v>
      </c>
      <c r="I43" s="28">
        <v>3000</v>
      </c>
    </row>
    <row r="44" spans="1:9" x14ac:dyDescent="0.35">
      <c r="A44" s="28" t="s">
        <v>106</v>
      </c>
      <c r="B44" s="29" t="s">
        <v>107</v>
      </c>
      <c r="C44" s="28">
        <v>3.2490000000000001</v>
      </c>
      <c r="D44" s="28">
        <v>0.42199999999999999</v>
      </c>
      <c r="E44" s="28"/>
      <c r="F44" s="28">
        <v>8.3000000000000004E-2</v>
      </c>
      <c r="G44" s="28"/>
      <c r="H44" s="28">
        <v>298</v>
      </c>
      <c r="I44" s="28">
        <v>3000</v>
      </c>
    </row>
    <row r="45" spans="1:9" x14ac:dyDescent="0.35">
      <c r="A45" s="28" t="s">
        <v>108</v>
      </c>
      <c r="B45" s="29" t="s">
        <v>234</v>
      </c>
      <c r="C45" s="28">
        <v>3.8149999999999999</v>
      </c>
      <c r="D45" s="28">
        <v>-1.6479999999999999</v>
      </c>
      <c r="E45" s="28">
        <v>2.8090000000000002</v>
      </c>
      <c r="F45" s="28">
        <v>-3.5000000000000003E-2</v>
      </c>
      <c r="G45" s="28">
        <v>-1.0840000000000001</v>
      </c>
      <c r="H45" s="28">
        <v>298</v>
      </c>
      <c r="I45" s="28">
        <v>1100</v>
      </c>
    </row>
    <row r="46" spans="1:9" x14ac:dyDescent="0.35">
      <c r="A46" s="28"/>
      <c r="B46" s="29" t="s">
        <v>233</v>
      </c>
      <c r="C46" s="28">
        <v>3.956</v>
      </c>
      <c r="D46" s="28">
        <v>0.33900000000000002</v>
      </c>
      <c r="E46" s="28">
        <v>-5.7000000000000002E-2</v>
      </c>
      <c r="F46" s="28">
        <v>-3.819</v>
      </c>
      <c r="G46" s="28">
        <v>4.0000000000000001E-3</v>
      </c>
      <c r="H46" s="28">
        <v>1100</v>
      </c>
      <c r="I46" s="28">
        <v>6000</v>
      </c>
    </row>
    <row r="47" spans="1:9" x14ac:dyDescent="0.35">
      <c r="A47" s="28" t="s">
        <v>109</v>
      </c>
      <c r="B47" s="29" t="s">
        <v>143</v>
      </c>
      <c r="C47" s="28">
        <v>4.7359999999999998</v>
      </c>
      <c r="D47" s="28">
        <v>1.359</v>
      </c>
      <c r="E47" s="28"/>
      <c r="F47" s="28">
        <v>-0.72499999999999998</v>
      </c>
      <c r="G47" s="28"/>
      <c r="H47" s="28">
        <v>298</v>
      </c>
      <c r="I47" s="28">
        <v>2500</v>
      </c>
    </row>
    <row r="48" spans="1:9" x14ac:dyDescent="0.35">
      <c r="A48" s="28" t="s">
        <v>110</v>
      </c>
      <c r="B48" s="29" t="s">
        <v>144</v>
      </c>
      <c r="C48" s="28">
        <v>3.1560000000000001</v>
      </c>
      <c r="D48" s="28">
        <v>0.623</v>
      </c>
      <c r="E48" s="28"/>
      <c r="F48" s="28">
        <v>0.151</v>
      </c>
      <c r="G48" s="28"/>
      <c r="H48" s="28">
        <v>298</v>
      </c>
      <c r="I48" s="28">
        <v>2000</v>
      </c>
    </row>
    <row r="49" spans="1:9" x14ac:dyDescent="0.35">
      <c r="A49" s="28" t="s">
        <v>118</v>
      </c>
      <c r="B49" s="29" t="s">
        <v>235</v>
      </c>
      <c r="C49" s="28">
        <v>3.6219999999999999</v>
      </c>
      <c r="D49" s="28">
        <v>-0.39</v>
      </c>
      <c r="E49" s="28">
        <v>0.34499999999999997</v>
      </c>
      <c r="F49" s="28">
        <v>-0.03</v>
      </c>
      <c r="G49" s="28">
        <v>5.5E-2</v>
      </c>
      <c r="H49" s="28">
        <v>298</v>
      </c>
      <c r="I49" s="28">
        <v>1000</v>
      </c>
    </row>
    <row r="50" spans="1:9" x14ac:dyDescent="0.35">
      <c r="A50" s="28"/>
      <c r="B50" s="29" t="s">
        <v>236</v>
      </c>
      <c r="C50" s="28">
        <v>2.9550000000000001</v>
      </c>
      <c r="D50" s="28">
        <v>0.82899999999999996</v>
      </c>
      <c r="E50" s="28">
        <v>-0.15</v>
      </c>
      <c r="F50" s="28">
        <v>-0.28199999999999997</v>
      </c>
      <c r="G50" s="28">
        <v>0.01</v>
      </c>
      <c r="H50" s="28">
        <v>1000</v>
      </c>
      <c r="I50" s="28">
        <v>6000</v>
      </c>
    </row>
    <row r="51" spans="1:9" x14ac:dyDescent="0.35">
      <c r="A51" s="28" t="s">
        <v>111</v>
      </c>
      <c r="B51" s="29" t="s">
        <v>112</v>
      </c>
      <c r="C51" s="28">
        <v>3.47</v>
      </c>
      <c r="D51" s="28">
        <v>1.45</v>
      </c>
      <c r="E51" s="28"/>
      <c r="F51" s="28">
        <v>0.121</v>
      </c>
      <c r="G51" s="28"/>
      <c r="H51" s="28">
        <v>298</v>
      </c>
      <c r="I51" s="28">
        <v>2000</v>
      </c>
    </row>
    <row r="52" spans="1:9" x14ac:dyDescent="0.35">
      <c r="A52" s="28" t="s">
        <v>113</v>
      </c>
      <c r="B52" s="29" t="s">
        <v>145</v>
      </c>
      <c r="C52" s="28">
        <v>3.931</v>
      </c>
      <c r="D52" s="28">
        <v>1.49</v>
      </c>
      <c r="E52" s="28"/>
      <c r="F52" s="28">
        <v>-0.23200000000000001</v>
      </c>
      <c r="G52" s="28"/>
      <c r="H52" s="28">
        <v>298</v>
      </c>
      <c r="I52" s="28">
        <v>2300</v>
      </c>
    </row>
    <row r="53" spans="1:9" x14ac:dyDescent="0.35">
      <c r="A53" s="28" t="s">
        <v>121</v>
      </c>
      <c r="B53" s="29" t="s">
        <v>122</v>
      </c>
      <c r="C53" s="28">
        <v>3.28</v>
      </c>
      <c r="D53" s="28">
        <v>0.59299999999999997</v>
      </c>
      <c r="E53" s="28"/>
      <c r="F53" s="28">
        <v>0.04</v>
      </c>
      <c r="G53" s="28"/>
      <c r="H53" s="28">
        <v>298</v>
      </c>
      <c r="I53" s="28">
        <v>2000</v>
      </c>
    </row>
    <row r="54" spans="1:9" x14ac:dyDescent="0.35">
      <c r="A54" s="28" t="s">
        <v>114</v>
      </c>
      <c r="B54" s="29" t="s">
        <v>115</v>
      </c>
      <c r="C54" s="28">
        <v>3.5777999999999999</v>
      </c>
      <c r="D54" s="28">
        <v>3.02</v>
      </c>
      <c r="E54" s="28"/>
      <c r="F54" s="28">
        <v>-0.186</v>
      </c>
      <c r="G54" s="28"/>
      <c r="H54" s="28">
        <v>298</v>
      </c>
      <c r="I54" s="28">
        <v>1800</v>
      </c>
    </row>
    <row r="55" spans="1:9" x14ac:dyDescent="0.35">
      <c r="A55" s="28" t="s">
        <v>124</v>
      </c>
      <c r="B55" s="29" t="s">
        <v>148</v>
      </c>
      <c r="C55" s="28">
        <v>5.3280000000000003</v>
      </c>
      <c r="D55" s="28">
        <v>1.24</v>
      </c>
      <c r="E55" s="28"/>
      <c r="F55" s="28">
        <v>-0.92800000000000005</v>
      </c>
      <c r="G55" s="28"/>
      <c r="H55" s="28">
        <v>298</v>
      </c>
      <c r="I55" s="28">
        <v>2000</v>
      </c>
    </row>
    <row r="56" spans="1:9" x14ac:dyDescent="0.35">
      <c r="A56" s="28" t="s">
        <v>125</v>
      </c>
      <c r="B56" s="29" t="s">
        <v>149</v>
      </c>
      <c r="C56" s="28">
        <v>3.387</v>
      </c>
      <c r="D56" s="28">
        <v>0.629</v>
      </c>
      <c r="E56" s="28"/>
      <c r="F56" s="28">
        <v>1.4E-2</v>
      </c>
      <c r="G56" s="28"/>
      <c r="H56" s="28">
        <v>298</v>
      </c>
      <c r="I56" s="28">
        <v>2000</v>
      </c>
    </row>
    <row r="57" spans="1:9" x14ac:dyDescent="0.35">
      <c r="A57" s="28" t="s">
        <v>126</v>
      </c>
      <c r="B57" s="29" t="s">
        <v>150</v>
      </c>
      <c r="C57" s="28">
        <v>4.9820000000000002</v>
      </c>
      <c r="D57" s="28">
        <v>1.1950000000000001</v>
      </c>
      <c r="E57" s="28"/>
      <c r="F57" s="28">
        <v>-0.79200000000000004</v>
      </c>
      <c r="G57" s="28"/>
      <c r="H57" s="28">
        <v>298</v>
      </c>
      <c r="I57" s="28">
        <v>2000</v>
      </c>
    </row>
    <row r="58" spans="1:9" x14ac:dyDescent="0.35">
      <c r="A58" s="28" t="s">
        <v>174</v>
      </c>
      <c r="B58" s="29" t="s">
        <v>256</v>
      </c>
      <c r="C58" s="28">
        <v>11.66</v>
      </c>
      <c r="D58" s="28">
        <v>2.2570000000000001</v>
      </c>
      <c r="E58" s="28"/>
      <c r="F58" s="28">
        <v>-2.7869999999999999</v>
      </c>
      <c r="G58" s="28"/>
      <c r="H58" s="28">
        <v>298</v>
      </c>
      <c r="I58" s="28">
        <v>2000</v>
      </c>
    </row>
    <row r="59" spans="1:9" x14ac:dyDescent="0.35">
      <c r="A59" s="28" t="s">
        <v>129</v>
      </c>
      <c r="B59" s="29" t="s">
        <v>130</v>
      </c>
      <c r="C59" s="28">
        <v>3.6389999999999998</v>
      </c>
      <c r="D59" s="28">
        <v>0.50600000000000001</v>
      </c>
      <c r="E59" s="28"/>
      <c r="F59" s="28">
        <v>-0.22700000000000001</v>
      </c>
      <c r="G59" s="28"/>
      <c r="H59" s="28">
        <v>298</v>
      </c>
      <c r="I59" s="28">
        <v>2000</v>
      </c>
    </row>
    <row r="60" spans="1:9" x14ac:dyDescent="0.35">
      <c r="A60" s="28" t="s">
        <v>131</v>
      </c>
      <c r="B60" s="29" t="s">
        <v>132</v>
      </c>
      <c r="C60" s="28">
        <v>1.431</v>
      </c>
      <c r="D60" s="28">
        <v>10.16</v>
      </c>
      <c r="E60" s="28">
        <v>-4.5759999999999996</v>
      </c>
      <c r="F60" s="28">
        <v>0.34799999999999998</v>
      </c>
      <c r="G60" s="28">
        <v>0.68500000000000005</v>
      </c>
      <c r="H60" s="28">
        <v>298</v>
      </c>
      <c r="I60" s="28">
        <v>1200</v>
      </c>
    </row>
    <row r="61" spans="1:9" x14ac:dyDescent="0.35">
      <c r="A61" s="28" t="s">
        <v>133</v>
      </c>
      <c r="B61" s="29" t="s">
        <v>237</v>
      </c>
      <c r="C61" s="28">
        <v>7.085</v>
      </c>
      <c r="D61" s="28">
        <v>30.736000000000001</v>
      </c>
      <c r="E61" s="28">
        <v>-30.343</v>
      </c>
      <c r="F61" s="28">
        <v>-1.9350000000000001</v>
      </c>
      <c r="G61" s="28">
        <v>10.676</v>
      </c>
      <c r="H61" s="28">
        <v>298</v>
      </c>
      <c r="I61" s="28">
        <v>1000</v>
      </c>
    </row>
    <row r="62" spans="1:9" x14ac:dyDescent="0.35">
      <c r="A62" s="28"/>
      <c r="B62" s="29" t="s">
        <v>238</v>
      </c>
      <c r="C62" s="28">
        <v>18.901</v>
      </c>
      <c r="D62" s="28">
        <v>5.8000000000000003E-2</v>
      </c>
      <c r="E62" s="28">
        <v>-1.2E-2</v>
      </c>
      <c r="F62" s="28">
        <v>-9.9589999999999996</v>
      </c>
      <c r="G62" s="28">
        <v>1E-3</v>
      </c>
      <c r="H62" s="28">
        <v>1000</v>
      </c>
      <c r="I62" s="28">
        <v>6000</v>
      </c>
    </row>
    <row r="63" spans="1:9" x14ac:dyDescent="0.35">
      <c r="A63" s="28" t="s">
        <v>134</v>
      </c>
      <c r="B63" s="29" t="s">
        <v>151</v>
      </c>
      <c r="C63" s="28">
        <v>5.6989999999999998</v>
      </c>
      <c r="D63" s="28">
        <v>0.80100000000000005</v>
      </c>
      <c r="E63" s="28"/>
      <c r="F63" s="28">
        <v>-1.0149999999999999</v>
      </c>
      <c r="G63" s="28"/>
      <c r="H63" s="28">
        <v>298</v>
      </c>
      <c r="I63" s="28">
        <v>2000</v>
      </c>
    </row>
    <row r="64" spans="1:9" x14ac:dyDescent="0.35">
      <c r="A64" s="28" t="s">
        <v>155</v>
      </c>
      <c r="B64" s="29" t="s">
        <v>163</v>
      </c>
      <c r="C64" s="28">
        <v>8.06</v>
      </c>
      <c r="D64" s="28">
        <v>1.056</v>
      </c>
      <c r="E64" s="28"/>
      <c r="F64" s="28">
        <v>-2.028</v>
      </c>
      <c r="G64" s="28"/>
      <c r="H64" s="28">
        <v>298</v>
      </c>
      <c r="I64" s="28">
        <v>2000</v>
      </c>
    </row>
    <row r="65" spans="1:9" x14ac:dyDescent="0.35">
      <c r="A65" s="28" t="s">
        <v>158</v>
      </c>
      <c r="B65" s="29" t="s">
        <v>175</v>
      </c>
      <c r="C65" s="28">
        <v>12.7</v>
      </c>
      <c r="D65" s="28">
        <v>0.255</v>
      </c>
      <c r="E65" s="28">
        <v>-6.9000000000000006E-2</v>
      </c>
      <c r="F65" s="28">
        <v>-1.744</v>
      </c>
      <c r="G65" s="28">
        <v>6.0000000000000001E-3</v>
      </c>
      <c r="H65" s="28">
        <v>298</v>
      </c>
      <c r="I65" s="28">
        <v>6000</v>
      </c>
    </row>
    <row r="66" spans="1:9" x14ac:dyDescent="0.35">
      <c r="A66" s="28" t="s">
        <v>176</v>
      </c>
      <c r="B66" s="29" t="s">
        <v>239</v>
      </c>
      <c r="C66" s="28">
        <v>2.9769999999999999</v>
      </c>
      <c r="D66" s="28">
        <v>14.807</v>
      </c>
      <c r="E66" s="28">
        <v>-9.2309999999999999</v>
      </c>
      <c r="F66" s="28">
        <v>-0.432</v>
      </c>
      <c r="G66" s="28">
        <v>2.242</v>
      </c>
      <c r="H66" s="28">
        <v>298</v>
      </c>
      <c r="I66" s="28">
        <v>1100</v>
      </c>
    </row>
    <row r="67" spans="1:9" x14ac:dyDescent="0.35">
      <c r="A67" s="28"/>
      <c r="B67" s="29" t="s">
        <v>240</v>
      </c>
      <c r="C67" s="28">
        <v>11.954000000000001</v>
      </c>
      <c r="D67" s="28">
        <v>0.57199999999999995</v>
      </c>
      <c r="E67" s="28">
        <v>-0.114</v>
      </c>
      <c r="F67" s="28">
        <v>-17.303000000000001</v>
      </c>
      <c r="G67" s="28">
        <v>8.0000000000000002E-3</v>
      </c>
      <c r="H67" s="28">
        <v>1100</v>
      </c>
      <c r="I67" s="28">
        <v>6000</v>
      </c>
    </row>
    <row r="68" spans="1:9" x14ac:dyDescent="0.35">
      <c r="A68" s="28" t="s">
        <v>177</v>
      </c>
      <c r="B68" s="29" t="s">
        <v>241</v>
      </c>
      <c r="C68" s="28">
        <v>6.0259999999999998</v>
      </c>
      <c r="D68" s="28">
        <v>10.145</v>
      </c>
      <c r="E68" s="28">
        <v>-6.0140000000000002</v>
      </c>
      <c r="F68" s="28">
        <v>-0.95899999999999996</v>
      </c>
      <c r="G68" s="28">
        <v>1.3280000000000001</v>
      </c>
      <c r="H68" s="28">
        <v>298</v>
      </c>
      <c r="I68" s="28">
        <v>1500</v>
      </c>
    </row>
    <row r="69" spans="1:9" x14ac:dyDescent="0.35">
      <c r="A69" s="28"/>
      <c r="B69" s="29" t="s">
        <v>242</v>
      </c>
      <c r="C69" s="28">
        <v>12.603</v>
      </c>
      <c r="D69" s="28">
        <v>0.19500000000000001</v>
      </c>
      <c r="E69" s="28">
        <v>-3.5000000000000003E-2</v>
      </c>
      <c r="F69" s="28">
        <v>-15.276999999999999</v>
      </c>
      <c r="G69" s="28">
        <v>2E-3</v>
      </c>
      <c r="H69" s="28">
        <v>1500</v>
      </c>
      <c r="I69" s="28">
        <v>6000</v>
      </c>
    </row>
    <row r="70" spans="1:9" x14ac:dyDescent="0.35">
      <c r="A70" s="28" t="s">
        <v>156</v>
      </c>
      <c r="B70" s="29" t="s">
        <v>243</v>
      </c>
      <c r="C70" s="28">
        <v>7.7320000000000002</v>
      </c>
      <c r="D70" s="28">
        <v>10.262</v>
      </c>
      <c r="E70" s="28">
        <v>-8.6709999999999994</v>
      </c>
      <c r="F70" s="28">
        <v>-0.90800000000000003</v>
      </c>
      <c r="G70" s="28">
        <v>2.8180000000000001</v>
      </c>
      <c r="H70" s="28">
        <v>298</v>
      </c>
      <c r="I70" s="28">
        <v>1000</v>
      </c>
    </row>
    <row r="71" spans="1:9" x14ac:dyDescent="0.35">
      <c r="A71" s="28"/>
      <c r="B71" s="29" t="s">
        <v>244</v>
      </c>
      <c r="C71" s="28">
        <v>12.552</v>
      </c>
      <c r="D71" s="28">
        <v>0.253</v>
      </c>
      <c r="E71" s="28">
        <v>-5.1999999999999998E-2</v>
      </c>
      <c r="F71" s="28">
        <v>-7.1790000000000003</v>
      </c>
      <c r="G71" s="28">
        <v>4.0000000000000001E-3</v>
      </c>
      <c r="H71" s="28">
        <v>1000</v>
      </c>
      <c r="I71" s="28">
        <v>6000</v>
      </c>
    </row>
    <row r="72" spans="1:9" x14ac:dyDescent="0.35">
      <c r="A72" s="28" t="s">
        <v>159</v>
      </c>
      <c r="B72" s="29" t="s">
        <v>245</v>
      </c>
      <c r="C72" s="28">
        <v>5.17</v>
      </c>
      <c r="D72" s="28">
        <v>19.158000000000001</v>
      </c>
      <c r="E72" s="28">
        <v>-18.178999999999998</v>
      </c>
      <c r="F72" s="28">
        <v>-0.51400000000000001</v>
      </c>
      <c r="G72" s="28">
        <v>6.2069999999999999</v>
      </c>
      <c r="H72" s="28">
        <v>298</v>
      </c>
      <c r="I72" s="28">
        <v>1000</v>
      </c>
    </row>
    <row r="73" spans="1:9" x14ac:dyDescent="0.35">
      <c r="A73" s="28"/>
      <c r="B73" s="29" t="s">
        <v>246</v>
      </c>
      <c r="C73" s="28">
        <v>12.903</v>
      </c>
      <c r="D73" s="28">
        <v>5.7000000000000002E-2</v>
      </c>
      <c r="E73" s="28">
        <v>-1.2E-2</v>
      </c>
      <c r="F73" s="28">
        <v>-6.4820000000000002</v>
      </c>
      <c r="G73" s="28">
        <v>1E-3</v>
      </c>
      <c r="H73" s="28">
        <v>1000</v>
      </c>
      <c r="I73" s="28">
        <v>6000</v>
      </c>
    </row>
    <row r="74" spans="1:9" x14ac:dyDescent="0.35">
      <c r="A74" s="28" t="s">
        <v>160</v>
      </c>
      <c r="B74" s="29" t="s">
        <v>247</v>
      </c>
      <c r="C74" s="28">
        <v>0.72899999999999998</v>
      </c>
      <c r="D74" s="28">
        <v>16.835000000000001</v>
      </c>
      <c r="E74" s="28">
        <v>-9.3680000000000003</v>
      </c>
      <c r="F74" s="28">
        <v>0.16300000000000001</v>
      </c>
      <c r="G74" s="28">
        <v>1.9530000000000001</v>
      </c>
      <c r="H74" s="28">
        <v>298</v>
      </c>
      <c r="I74" s="28">
        <v>1300</v>
      </c>
    </row>
    <row r="75" spans="1:9" x14ac:dyDescent="0.35">
      <c r="A75" s="28"/>
      <c r="B75" s="29" t="s">
        <v>248</v>
      </c>
      <c r="C75" s="28">
        <v>12.01</v>
      </c>
      <c r="D75" s="28">
        <v>0.51100000000000001</v>
      </c>
      <c r="E75" s="28">
        <v>-9.7000000000000003E-2</v>
      </c>
      <c r="F75" s="28">
        <v>-24.524999999999999</v>
      </c>
      <c r="G75" s="28">
        <v>6.0000000000000001E-3</v>
      </c>
      <c r="H75" s="28">
        <v>1300</v>
      </c>
      <c r="I75" s="28">
        <v>6000</v>
      </c>
    </row>
    <row r="76" spans="1:9" x14ac:dyDescent="0.35">
      <c r="A76" s="28" t="s">
        <v>162</v>
      </c>
      <c r="B76" s="29" t="s">
        <v>166</v>
      </c>
      <c r="C76" s="28">
        <v>18.137</v>
      </c>
      <c r="D76" s="28">
        <v>0.73</v>
      </c>
      <c r="E76" s="28">
        <v>-0.19700000000000001</v>
      </c>
      <c r="F76" s="28">
        <v>-3.69</v>
      </c>
      <c r="G76" s="28">
        <v>1.7000000000000001E-2</v>
      </c>
      <c r="H76" s="28">
        <v>1000</v>
      </c>
      <c r="I76" s="28">
        <v>6000</v>
      </c>
    </row>
    <row r="77" spans="1:9" x14ac:dyDescent="0.35">
      <c r="A77" s="30" t="s">
        <v>15</v>
      </c>
      <c r="B77" s="31" t="s">
        <v>210</v>
      </c>
      <c r="C77" s="30">
        <v>9.8149999999999995</v>
      </c>
      <c r="D77" s="30"/>
      <c r="E77" s="30"/>
      <c r="F77" s="30"/>
      <c r="G77" s="30"/>
      <c r="H77" s="30"/>
      <c r="I77" s="30"/>
    </row>
    <row r="78" spans="1:9" x14ac:dyDescent="0.35">
      <c r="A78" s="30" t="s">
        <v>27</v>
      </c>
      <c r="B78" s="31" t="s">
        <v>209</v>
      </c>
      <c r="C78" s="30">
        <v>13.592000000000001</v>
      </c>
      <c r="D78" s="30"/>
      <c r="E78" s="30"/>
      <c r="F78" s="30"/>
      <c r="G78" s="30"/>
      <c r="H78" s="30"/>
      <c r="I78" s="30"/>
    </row>
    <row r="79" spans="1:9" x14ac:dyDescent="0.35">
      <c r="A79" s="30" t="s">
        <v>31</v>
      </c>
      <c r="B79" s="31" t="s">
        <v>193</v>
      </c>
      <c r="C79" s="30">
        <v>11.183999999999999</v>
      </c>
      <c r="D79" s="30">
        <v>13.375</v>
      </c>
      <c r="E79" s="30"/>
      <c r="F79" s="30"/>
      <c r="G79" s="30"/>
      <c r="H79" s="30"/>
      <c r="I79" s="30"/>
    </row>
    <row r="80" spans="1:9" x14ac:dyDescent="0.35">
      <c r="A80" s="30" t="s">
        <v>50</v>
      </c>
      <c r="B80" s="31" t="s">
        <v>194</v>
      </c>
      <c r="C80" s="30">
        <v>18.690999999999999</v>
      </c>
      <c r="D80" s="30">
        <v>5.2539999999999996</v>
      </c>
      <c r="E80" s="30"/>
      <c r="F80" s="30"/>
      <c r="G80" s="30"/>
      <c r="H80" s="30"/>
      <c r="I80" s="30"/>
    </row>
    <row r="81" spans="1:9" x14ac:dyDescent="0.35">
      <c r="A81" s="30" t="s">
        <v>52</v>
      </c>
      <c r="B81" s="31" t="s">
        <v>195</v>
      </c>
      <c r="C81" s="30">
        <v>16.309999999999999</v>
      </c>
      <c r="D81" s="30">
        <v>0</v>
      </c>
      <c r="E81" s="30"/>
      <c r="F81" s="30"/>
      <c r="G81" s="30"/>
      <c r="H81" s="30"/>
      <c r="I81" s="30"/>
    </row>
    <row r="82" spans="1:9" x14ac:dyDescent="0.35">
      <c r="A82" s="30" t="s">
        <v>171</v>
      </c>
      <c r="B82" s="31" t="s">
        <v>196</v>
      </c>
      <c r="C82" s="30">
        <v>23.695</v>
      </c>
      <c r="D82" s="30"/>
      <c r="E82" s="30"/>
      <c r="F82" s="30"/>
      <c r="G82" s="30"/>
      <c r="H82" s="30"/>
      <c r="I82" s="30"/>
    </row>
    <row r="83" spans="1:9" x14ac:dyDescent="0.35">
      <c r="A83" s="30" t="s">
        <v>180</v>
      </c>
      <c r="B83" s="31" t="s">
        <v>197</v>
      </c>
      <c r="C83" s="30">
        <v>3.819</v>
      </c>
      <c r="D83" s="30"/>
      <c r="E83" s="30"/>
      <c r="F83" s="30"/>
      <c r="G83" s="30"/>
      <c r="H83" s="30"/>
      <c r="I83" s="30"/>
    </row>
    <row r="84" spans="1:9" x14ac:dyDescent="0.35">
      <c r="A84" s="30" t="s">
        <v>180</v>
      </c>
      <c r="B84" s="31" t="s">
        <v>198</v>
      </c>
      <c r="C84" s="30">
        <v>2.4860000000000002</v>
      </c>
      <c r="D84" s="30">
        <v>1.49</v>
      </c>
      <c r="E84" s="30"/>
      <c r="F84" s="30"/>
      <c r="G84" s="30"/>
      <c r="H84" s="30"/>
      <c r="I84" s="30"/>
    </row>
    <row r="85" spans="1:9" x14ac:dyDescent="0.35">
      <c r="A85" s="30" t="s">
        <v>181</v>
      </c>
      <c r="B85" s="31" t="s">
        <v>203</v>
      </c>
      <c r="C85" s="30">
        <v>23.154</v>
      </c>
      <c r="D85" s="30"/>
      <c r="E85" s="30"/>
      <c r="F85" s="30"/>
      <c r="G85" s="30"/>
      <c r="H85" s="30"/>
      <c r="I85" s="30"/>
    </row>
    <row r="86" spans="1:9" x14ac:dyDescent="0.35">
      <c r="A86" s="30" t="s">
        <v>8</v>
      </c>
      <c r="B86" s="31" t="s">
        <v>211</v>
      </c>
      <c r="C86" s="30">
        <v>2.0630000000000002</v>
      </c>
      <c r="D86" s="30">
        <v>0.51400000000000001</v>
      </c>
      <c r="E86" s="30"/>
      <c r="F86" s="30">
        <v>-1.0569999999999999</v>
      </c>
      <c r="G86" s="30"/>
      <c r="H86" s="30"/>
      <c r="I86" s="30"/>
    </row>
    <row r="87" spans="1:9" x14ac:dyDescent="0.35">
      <c r="A87" s="30" t="s">
        <v>8</v>
      </c>
      <c r="B87" s="31" t="s">
        <v>212</v>
      </c>
      <c r="C87" s="30">
        <v>0.78200000000000003</v>
      </c>
      <c r="D87" s="30"/>
      <c r="E87" s="30"/>
      <c r="F87" s="30"/>
      <c r="G87" s="30"/>
      <c r="H87" s="30"/>
      <c r="I87" s="30"/>
    </row>
    <row r="88" spans="1:9" x14ac:dyDescent="0.35">
      <c r="A88" s="30" t="s">
        <v>182</v>
      </c>
      <c r="B88" s="31" t="s">
        <v>199</v>
      </c>
      <c r="C88" s="30">
        <v>3.95</v>
      </c>
      <c r="D88" s="30"/>
      <c r="E88" s="30"/>
      <c r="F88" s="30"/>
      <c r="G88" s="30"/>
      <c r="H88" s="30"/>
      <c r="I88" s="30"/>
    </row>
    <row r="89" spans="1:9" x14ac:dyDescent="0.35">
      <c r="A89" s="30" t="s">
        <v>182</v>
      </c>
      <c r="B89" s="31" t="s">
        <v>213</v>
      </c>
      <c r="C89" s="30">
        <v>2.7229999999999999</v>
      </c>
      <c r="D89" s="30"/>
      <c r="E89" s="30"/>
      <c r="F89" s="30"/>
      <c r="G89" s="30"/>
      <c r="H89" s="30"/>
      <c r="I89" s="30"/>
    </row>
    <row r="90" spans="1:9" x14ac:dyDescent="0.35">
      <c r="A90" s="30" t="s">
        <v>183</v>
      </c>
      <c r="B90" s="31" t="s">
        <v>214</v>
      </c>
      <c r="C90" s="30">
        <v>7.4980000000000002</v>
      </c>
      <c r="D90" s="30"/>
      <c r="E90" s="30"/>
      <c r="F90" s="30"/>
      <c r="G90" s="30"/>
      <c r="H90" s="30"/>
      <c r="I90" s="30"/>
    </row>
    <row r="91" spans="1:9" x14ac:dyDescent="0.35">
      <c r="A91" s="30" t="s">
        <v>184</v>
      </c>
      <c r="B91" s="31" t="s">
        <v>215</v>
      </c>
      <c r="C91" s="30">
        <v>4.6660000000000004</v>
      </c>
      <c r="D91" s="30"/>
      <c r="E91" s="30"/>
      <c r="F91" s="30"/>
      <c r="G91" s="30"/>
      <c r="H91" s="30"/>
      <c r="I91" s="30"/>
    </row>
    <row r="92" spans="1:9" x14ac:dyDescent="0.35">
      <c r="A92" s="30" t="s">
        <v>185</v>
      </c>
      <c r="B92" s="31" t="s">
        <v>216</v>
      </c>
      <c r="C92" s="30">
        <v>2.1040000000000001</v>
      </c>
      <c r="D92" s="30">
        <v>2.9790000000000001</v>
      </c>
      <c r="E92" s="30"/>
      <c r="F92" s="30"/>
      <c r="G92" s="30"/>
      <c r="H92" s="30"/>
      <c r="I92" s="30"/>
    </row>
    <row r="93" spans="1:9" x14ac:dyDescent="0.35">
      <c r="A93" s="30" t="s">
        <v>186</v>
      </c>
      <c r="B93" s="31" t="s">
        <v>217</v>
      </c>
      <c r="C93" s="30">
        <v>11.012</v>
      </c>
      <c r="D93" s="30">
        <v>24.26</v>
      </c>
      <c r="E93" s="30"/>
      <c r="F93" s="30"/>
      <c r="G93" s="30"/>
      <c r="H93" s="30"/>
      <c r="I93" s="30"/>
    </row>
    <row r="94" spans="1:9" x14ac:dyDescent="0.35">
      <c r="A94" s="30" t="s">
        <v>187</v>
      </c>
      <c r="B94" s="31" t="s">
        <v>218</v>
      </c>
      <c r="C94" s="30">
        <v>5.4379999999999997</v>
      </c>
      <c r="D94" s="30">
        <v>0.73</v>
      </c>
      <c r="E94" s="30"/>
      <c r="F94" s="30"/>
      <c r="G94" s="30"/>
      <c r="H94" s="30"/>
      <c r="I94" s="30"/>
    </row>
    <row r="95" spans="1:9" x14ac:dyDescent="0.35">
      <c r="A95" s="30" t="s">
        <v>188</v>
      </c>
      <c r="B95" s="31" t="s">
        <v>219</v>
      </c>
      <c r="C95" s="30">
        <v>1.508</v>
      </c>
      <c r="D95" s="30">
        <v>4.3079999999999998</v>
      </c>
      <c r="E95" s="30"/>
      <c r="F95" s="30">
        <v>0.29699999999999999</v>
      </c>
      <c r="G95" s="30"/>
      <c r="H95" s="30"/>
      <c r="I95" s="30"/>
    </row>
    <row r="96" spans="1:9" x14ac:dyDescent="0.35">
      <c r="A96" s="30" t="s">
        <v>189</v>
      </c>
      <c r="B96" s="31" t="s">
        <v>200</v>
      </c>
      <c r="C96" s="30">
        <v>3.2719999999999998</v>
      </c>
      <c r="D96" s="30"/>
      <c r="E96" s="30"/>
      <c r="F96" s="30"/>
      <c r="G96" s="30"/>
      <c r="H96" s="30"/>
      <c r="I96" s="30"/>
    </row>
    <row r="97" spans="1:9" x14ac:dyDescent="0.35">
      <c r="A97" s="30" t="s">
        <v>189</v>
      </c>
      <c r="B97" s="31" t="s">
        <v>220</v>
      </c>
      <c r="C97" s="30">
        <v>2.879</v>
      </c>
      <c r="D97" s="30">
        <v>0.29699999999999999</v>
      </c>
      <c r="E97" s="30"/>
      <c r="F97" s="30">
        <v>-0.498</v>
      </c>
      <c r="G97" s="30"/>
      <c r="H97" s="30"/>
      <c r="I97" s="30"/>
    </row>
    <row r="98" spans="1:9" x14ac:dyDescent="0.35">
      <c r="A98" s="30" t="s">
        <v>190</v>
      </c>
      <c r="B98" s="31" t="s">
        <v>221</v>
      </c>
      <c r="C98" s="30">
        <v>5.6470000000000002</v>
      </c>
      <c r="D98" s="30">
        <v>4.1269999999999998</v>
      </c>
      <c r="E98" s="30"/>
      <c r="F98" s="30">
        <v>-1.359</v>
      </c>
      <c r="G98" s="30"/>
      <c r="H98" s="30"/>
      <c r="I98" s="30"/>
    </row>
    <row r="99" spans="1:9" x14ac:dyDescent="0.35">
      <c r="A99" s="30" t="s">
        <v>156</v>
      </c>
      <c r="B99" s="31" t="s">
        <v>205</v>
      </c>
      <c r="C99" s="30">
        <v>15.678000000000001</v>
      </c>
      <c r="D99" s="30"/>
      <c r="E99" s="30"/>
      <c r="F99" s="30"/>
      <c r="G99" s="30"/>
      <c r="H99" s="30"/>
      <c r="I99" s="30"/>
    </row>
    <row r="100" spans="1:9" x14ac:dyDescent="0.35">
      <c r="A100" s="30" t="s">
        <v>158</v>
      </c>
      <c r="B100" s="31" t="s">
        <v>206</v>
      </c>
      <c r="C100" s="30">
        <v>16.117000000000001</v>
      </c>
      <c r="D100" s="30"/>
      <c r="E100" s="30"/>
      <c r="F100" s="30"/>
      <c r="G100" s="30"/>
      <c r="H100" s="30"/>
      <c r="I100" s="30"/>
    </row>
    <row r="101" spans="1:9" x14ac:dyDescent="0.35">
      <c r="A101" s="30" t="s">
        <v>111</v>
      </c>
      <c r="B101" s="31" t="s">
        <v>207</v>
      </c>
      <c r="C101" s="30">
        <v>9.0690000000000008</v>
      </c>
      <c r="D101" s="30"/>
      <c r="E101" s="30"/>
      <c r="F101" s="30"/>
      <c r="G101" s="30"/>
      <c r="H101" s="30"/>
      <c r="I101" s="30"/>
    </row>
    <row r="102" spans="1:9" x14ac:dyDescent="0.35">
      <c r="A102" s="30" t="s">
        <v>111</v>
      </c>
      <c r="B102" s="31" t="s">
        <v>201</v>
      </c>
      <c r="C102" s="30">
        <v>4.1959999999999997</v>
      </c>
      <c r="D102" s="30"/>
      <c r="E102" s="30"/>
      <c r="F102" s="30"/>
      <c r="G102" s="30"/>
      <c r="H102" s="30"/>
      <c r="I102" s="30"/>
    </row>
    <row r="103" spans="1:9" x14ac:dyDescent="0.35">
      <c r="A103" s="30" t="s">
        <v>191</v>
      </c>
      <c r="B103" s="31" t="s">
        <v>202</v>
      </c>
      <c r="C103" s="30">
        <v>16.731000000000002</v>
      </c>
      <c r="D103" s="30">
        <v>1.875</v>
      </c>
      <c r="E103" s="30"/>
      <c r="F103" s="30"/>
      <c r="G103" s="30"/>
      <c r="H103" s="30"/>
      <c r="I103" s="30"/>
    </row>
    <row r="104" spans="1:9" x14ac:dyDescent="0.35">
      <c r="A104" s="30" t="s">
        <v>192</v>
      </c>
      <c r="B104" s="31" t="s">
        <v>208</v>
      </c>
      <c r="C104" s="30">
        <v>13.315</v>
      </c>
      <c r="D104" s="30"/>
      <c r="E104" s="30"/>
      <c r="F104" s="30"/>
      <c r="G104" s="30"/>
      <c r="H104" s="30"/>
      <c r="I104" s="30"/>
    </row>
    <row r="105" spans="1:9" x14ac:dyDescent="0.35">
      <c r="A105" s="30" t="s">
        <v>114</v>
      </c>
      <c r="B105" s="32" t="s">
        <v>204</v>
      </c>
      <c r="C105" s="30">
        <v>6.88</v>
      </c>
      <c r="D105" s="30">
        <v>9.6820000000000004</v>
      </c>
      <c r="E105" s="30"/>
      <c r="F105" s="30"/>
      <c r="G105" s="30"/>
      <c r="H105" s="30"/>
      <c r="I105" s="30"/>
    </row>
  </sheetData>
  <dataConsolidate/>
  <mergeCells count="3">
    <mergeCell ref="J1:T1"/>
    <mergeCell ref="K19:M19"/>
    <mergeCell ref="K20:M20"/>
  </mergeCells>
  <dataValidations count="1">
    <dataValidation type="list" allowBlank="1" showInputMessage="1" showErrorMessage="1" sqref="M7" xr:uid="{D00E8E77-7563-403B-920C-1DE6325FCBD6}">
      <formula1>$B$2:$B$105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693D1-E234-4587-A461-8A9E702460C8}">
  <sheetPr codeName="Sheet4"/>
  <dimension ref="A1:Y51"/>
  <sheetViews>
    <sheetView showGridLines="0" tabSelected="1" zoomScale="70" zoomScaleNormal="70" workbookViewId="0">
      <pane ySplit="1" topLeftCell="A2" activePane="bottomLeft" state="frozen"/>
      <selection pane="bottomLeft" activeCell="C6" sqref="C6"/>
    </sheetView>
  </sheetViews>
  <sheetFormatPr defaultRowHeight="14.5" x14ac:dyDescent="0.35"/>
  <cols>
    <col min="1" max="1" width="13.08984375" style="55" bestFit="1" customWidth="1"/>
    <col min="2" max="2" width="11.81640625" style="55" customWidth="1"/>
    <col min="3" max="3" width="12.453125" style="55" customWidth="1"/>
    <col min="4" max="4" width="10.7265625" style="55" customWidth="1"/>
    <col min="5" max="12" width="8.7265625" style="55"/>
    <col min="13" max="13" width="2.6328125" style="55" customWidth="1"/>
    <col min="14" max="14" width="17.26953125" style="55" customWidth="1"/>
    <col min="15" max="15" width="10.08984375" style="55" customWidth="1"/>
    <col min="16" max="16" width="2.1796875" style="55" customWidth="1"/>
    <col min="17" max="17" width="18.1796875" style="55" bestFit="1" customWidth="1"/>
    <col min="18" max="18" width="10.08984375" style="55" customWidth="1"/>
    <col min="19" max="19" width="2.1796875" style="55" customWidth="1"/>
    <col min="20" max="20" width="19.08984375" style="55" bestFit="1" customWidth="1"/>
    <col min="21" max="21" width="10.08984375" style="55" customWidth="1"/>
    <col min="22" max="22" width="2.1796875" style="55" customWidth="1"/>
    <col min="23" max="23" width="19.08984375" style="55" customWidth="1"/>
    <col min="24" max="16384" width="8.7265625" style="55"/>
  </cols>
  <sheetData>
    <row r="1" spans="1:25" s="84" customFormat="1" ht="43" customHeight="1" thickBot="1" x14ac:dyDescent="0.4">
      <c r="A1" s="54" t="s">
        <v>320</v>
      </c>
      <c r="B1" s="54" t="s">
        <v>321</v>
      </c>
      <c r="C1" s="54" t="s">
        <v>323</v>
      </c>
      <c r="D1" s="54" t="s">
        <v>324</v>
      </c>
      <c r="E1" s="54" t="s">
        <v>322</v>
      </c>
      <c r="F1" s="54" t="s">
        <v>325</v>
      </c>
      <c r="G1" s="54" t="s">
        <v>326</v>
      </c>
      <c r="H1" s="54" t="s">
        <v>327</v>
      </c>
      <c r="I1" s="54" t="s">
        <v>328</v>
      </c>
      <c r="J1" s="54" t="s">
        <v>329</v>
      </c>
      <c r="K1" s="54" t="s">
        <v>330</v>
      </c>
      <c r="L1" s="54" t="s">
        <v>331</v>
      </c>
      <c r="M1" s="157" t="s">
        <v>253</v>
      </c>
      <c r="N1" s="158"/>
      <c r="O1" s="158"/>
      <c r="P1" s="158"/>
      <c r="Q1" s="158"/>
      <c r="R1" s="158"/>
      <c r="S1" s="158"/>
      <c r="T1" s="158"/>
      <c r="U1" s="158"/>
      <c r="V1" s="158"/>
      <c r="W1" s="83"/>
      <c r="X1" s="83"/>
      <c r="Y1" s="83"/>
    </row>
    <row r="2" spans="1:25" ht="21.5" thickBot="1" x14ac:dyDescent="0.55000000000000004">
      <c r="A2" s="117">
        <v>0.01</v>
      </c>
      <c r="B2" s="119">
        <v>6.1165000000000004E-4</v>
      </c>
      <c r="C2" s="94">
        <v>1.0001999999999999E-3</v>
      </c>
      <c r="D2" s="100">
        <v>205.99</v>
      </c>
      <c r="E2" s="105">
        <v>0</v>
      </c>
      <c r="F2" s="104">
        <v>2374.9</v>
      </c>
      <c r="G2" s="109">
        <v>1E-3</v>
      </c>
      <c r="H2" s="104">
        <v>2500.8989999999999</v>
      </c>
      <c r="I2" s="104">
        <v>2500.9</v>
      </c>
      <c r="J2" s="113">
        <v>0</v>
      </c>
      <c r="K2" s="112">
        <v>9.1555</v>
      </c>
      <c r="L2" s="115">
        <v>9.1555</v>
      </c>
      <c r="R2" s="6"/>
    </row>
    <row r="3" spans="1:25" ht="21" x14ac:dyDescent="0.5">
      <c r="A3" s="118">
        <v>5</v>
      </c>
      <c r="B3" s="120">
        <v>8.7257999999999997E-4</v>
      </c>
      <c r="C3" s="91">
        <v>1.0001000000000001E-3</v>
      </c>
      <c r="D3" s="98">
        <v>147.01</v>
      </c>
      <c r="E3" s="106">
        <v>21.018999999999998</v>
      </c>
      <c r="F3" s="102">
        <v>2381.8000000000002</v>
      </c>
      <c r="G3" s="110">
        <v>21.02</v>
      </c>
      <c r="H3" s="102">
        <v>2489.08</v>
      </c>
      <c r="I3" s="102">
        <v>2510.1</v>
      </c>
      <c r="J3" s="95">
        <v>7.6254000000000002E-2</v>
      </c>
      <c r="K3" s="93">
        <v>8.9485460000000003</v>
      </c>
      <c r="L3" s="116">
        <v>9.0248000000000008</v>
      </c>
      <c r="N3" s="89" t="s">
        <v>335</v>
      </c>
      <c r="O3" s="59">
        <v>0</v>
      </c>
      <c r="Q3" s="151" t="s">
        <v>346</v>
      </c>
      <c r="R3" s="153"/>
    </row>
    <row r="4" spans="1:25" ht="21.5" thickBot="1" x14ac:dyDescent="0.55000000000000004">
      <c r="A4" s="118">
        <v>10</v>
      </c>
      <c r="B4" s="121">
        <v>1.2282E-3</v>
      </c>
      <c r="C4" s="91">
        <v>1.0003E-3</v>
      </c>
      <c r="D4" s="98">
        <v>106.3</v>
      </c>
      <c r="E4" s="106">
        <v>42.02</v>
      </c>
      <c r="F4" s="102">
        <v>2388.6</v>
      </c>
      <c r="G4" s="110">
        <v>42.021000000000001</v>
      </c>
      <c r="H4" s="102">
        <v>2477.1789999999996</v>
      </c>
      <c r="I4" s="102">
        <v>2519.1999999999998</v>
      </c>
      <c r="J4" s="95">
        <v>0.15109</v>
      </c>
      <c r="K4" s="93">
        <v>8.7487100000000009</v>
      </c>
      <c r="L4" s="116">
        <v>8.8998000000000008</v>
      </c>
      <c r="N4" s="88" t="s">
        <v>334</v>
      </c>
      <c r="O4" s="56">
        <v>20</v>
      </c>
      <c r="Q4" s="159" t="s">
        <v>347</v>
      </c>
      <c r="R4" s="160"/>
      <c r="S4" s="55" t="s">
        <v>304</v>
      </c>
    </row>
    <row r="5" spans="1:25" ht="21.5" thickBot="1" x14ac:dyDescent="0.55000000000000004">
      <c r="A5" s="118">
        <v>15</v>
      </c>
      <c r="B5" s="121">
        <v>1.7057999999999999E-3</v>
      </c>
      <c r="C5" s="91">
        <v>1.0009000000000001E-3</v>
      </c>
      <c r="D5" s="98">
        <v>77.875</v>
      </c>
      <c r="E5" s="106">
        <v>62.98</v>
      </c>
      <c r="F5" s="102">
        <v>2395.5</v>
      </c>
      <c r="G5" s="110">
        <v>62.981000000000002</v>
      </c>
      <c r="H5" s="102">
        <v>2465.319</v>
      </c>
      <c r="I5" s="102">
        <v>2528.3000000000002</v>
      </c>
      <c r="J5" s="95">
        <v>0.22445999999999999</v>
      </c>
      <c r="K5" s="93">
        <v>8.5558399999999999</v>
      </c>
      <c r="L5" s="116">
        <v>8.7803000000000004</v>
      </c>
    </row>
    <row r="6" spans="1:25" ht="21.5" thickBot="1" x14ac:dyDescent="0.55000000000000004">
      <c r="A6" s="118">
        <v>20</v>
      </c>
      <c r="B6" s="121">
        <v>2.3392999999999999E-3</v>
      </c>
      <c r="C6" s="91">
        <v>1.0018E-3</v>
      </c>
      <c r="D6" s="98">
        <v>57.756999999999998</v>
      </c>
      <c r="E6" s="106">
        <v>83.912000000000006</v>
      </c>
      <c r="F6" s="102">
        <v>2402.3000000000002</v>
      </c>
      <c r="G6" s="110">
        <v>83.914000000000001</v>
      </c>
      <c r="H6" s="102">
        <v>2453.4859999999999</v>
      </c>
      <c r="I6" s="102">
        <v>2537.4</v>
      </c>
      <c r="J6" s="95">
        <v>0.29648000000000002</v>
      </c>
      <c r="K6" s="93">
        <v>8.3695199999999996</v>
      </c>
      <c r="L6" s="101">
        <v>8.6660000000000004</v>
      </c>
      <c r="N6" s="12" t="s">
        <v>332</v>
      </c>
      <c r="O6" s="58">
        <f xml:space="preserve"> VLOOKUP(O4,A2:D50, 3, FALSE)</f>
        <v>1.0018E-3</v>
      </c>
      <c r="Q6" s="12" t="s">
        <v>343</v>
      </c>
      <c r="R6" s="58">
        <f xml:space="preserve"> VLOOKUP($O$4,$A$2:$L$50, 7, FALSE)</f>
        <v>83.914000000000001</v>
      </c>
      <c r="T6" s="12" t="s">
        <v>340</v>
      </c>
      <c r="U6" s="58">
        <f xml:space="preserve"> VLOOKUP($O$4,$A$2:$L$50, 10, FALSE)</f>
        <v>0.29648000000000002</v>
      </c>
      <c r="W6" s="12" t="s">
        <v>350</v>
      </c>
      <c r="X6" s="58">
        <f xml:space="preserve"> VLOOKUP($O$4,$A$2:$L$50, 5, FALSE)</f>
        <v>83.912000000000006</v>
      </c>
    </row>
    <row r="7" spans="1:25" ht="21.5" thickBot="1" x14ac:dyDescent="0.55000000000000004">
      <c r="A7" s="118">
        <v>25</v>
      </c>
      <c r="B7" s="121">
        <v>3.1698999999999998E-3</v>
      </c>
      <c r="C7" s="91">
        <v>1.003E-3</v>
      </c>
      <c r="D7" s="98">
        <v>43.337000000000003</v>
      </c>
      <c r="E7" s="106">
        <v>104.83</v>
      </c>
      <c r="F7" s="102">
        <v>2409.1</v>
      </c>
      <c r="G7" s="110">
        <v>104.83</v>
      </c>
      <c r="H7" s="102">
        <v>2441.67</v>
      </c>
      <c r="I7" s="102">
        <v>2546.5</v>
      </c>
      <c r="J7" s="95">
        <v>0.36721999999999999</v>
      </c>
      <c r="K7" s="93">
        <v>8.1893799999999999</v>
      </c>
      <c r="L7" s="116">
        <v>8.5565999999999995</v>
      </c>
      <c r="N7" s="87" t="s">
        <v>333</v>
      </c>
      <c r="O7" s="58">
        <f xml:space="preserve"> VLOOKUP(O4,A2:D50, 4, FALSE)</f>
        <v>57.756999999999998</v>
      </c>
      <c r="Q7" s="12" t="s">
        <v>342</v>
      </c>
      <c r="R7" s="58">
        <f xml:space="preserve"> VLOOKUP($O$4,$A$2:$L$50, 9, FALSE)</f>
        <v>2537.4</v>
      </c>
      <c r="T7" s="12" t="s">
        <v>341</v>
      </c>
      <c r="U7" s="58">
        <f xml:space="preserve"> VLOOKUP($O$4,$A$2:$L$50, 12, FALSE)</f>
        <v>8.6660000000000004</v>
      </c>
      <c r="W7" s="12" t="s">
        <v>349</v>
      </c>
      <c r="X7" s="58">
        <f xml:space="preserve"> VLOOKUP($O$4,$A$2:$L$50, 6, FALSE)</f>
        <v>2402.3000000000002</v>
      </c>
    </row>
    <row r="8" spans="1:25" ht="21.5" thickBot="1" x14ac:dyDescent="0.55000000000000004">
      <c r="A8" s="118">
        <v>30</v>
      </c>
      <c r="B8" s="121">
        <v>4.2469999999999999E-3</v>
      </c>
      <c r="C8" s="91">
        <v>1.0043999999999999E-3</v>
      </c>
      <c r="D8" s="98">
        <v>32.878</v>
      </c>
      <c r="E8" s="106">
        <v>125.73</v>
      </c>
      <c r="F8" s="102">
        <v>2415.9</v>
      </c>
      <c r="G8" s="110">
        <v>125.73</v>
      </c>
      <c r="H8" s="102">
        <v>2429.77</v>
      </c>
      <c r="I8" s="102">
        <v>2555.5</v>
      </c>
      <c r="J8" s="95">
        <v>0.43675000000000003</v>
      </c>
      <c r="K8" s="93">
        <v>8.01525</v>
      </c>
      <c r="L8" s="101">
        <v>8.452</v>
      </c>
    </row>
    <row r="9" spans="1:25" ht="21.5" thickBot="1" x14ac:dyDescent="0.55000000000000004">
      <c r="A9" s="118">
        <v>35</v>
      </c>
      <c r="B9" s="121">
        <v>5.6290000000000003E-3</v>
      </c>
      <c r="C9" s="91">
        <v>1.0059999999999999E-3</v>
      </c>
      <c r="D9" s="98">
        <v>25.204999999999998</v>
      </c>
      <c r="E9" s="106">
        <v>146.63</v>
      </c>
      <c r="F9" s="102">
        <v>2422.6999999999998</v>
      </c>
      <c r="G9" s="110">
        <v>146.63</v>
      </c>
      <c r="H9" s="102">
        <v>2417.87</v>
      </c>
      <c r="I9" s="102">
        <v>2564.5</v>
      </c>
      <c r="J9" s="95">
        <v>0.50512999999999997</v>
      </c>
      <c r="K9" s="93">
        <v>7.8465699999999989</v>
      </c>
      <c r="L9" s="116">
        <v>8.3516999999999992</v>
      </c>
      <c r="N9" s="86" t="s">
        <v>336</v>
      </c>
      <c r="O9" s="57">
        <f xml:space="preserve"> O7*O3 + O6*(1-O3)</f>
        <v>1.0018E-3</v>
      </c>
      <c r="Q9" s="86" t="s">
        <v>338</v>
      </c>
      <c r="R9" s="57">
        <f xml:space="preserve"> R7*O3 + R6*(1-O3)</f>
        <v>83.914000000000001</v>
      </c>
      <c r="T9" s="86" t="s">
        <v>339</v>
      </c>
      <c r="U9" s="57">
        <f xml:space="preserve"> U7*O3 + U6*(1-O3)</f>
        <v>0.29648000000000002</v>
      </c>
      <c r="W9" s="86" t="s">
        <v>351</v>
      </c>
      <c r="X9" s="57">
        <f xml:space="preserve"> X7*O3 + X6*(1-O3)</f>
        <v>83.912000000000006</v>
      </c>
    </row>
    <row r="10" spans="1:25" ht="21" x14ac:dyDescent="0.5">
      <c r="A10" s="118">
        <v>40</v>
      </c>
      <c r="B10" s="121">
        <v>7.3848999999999998E-3</v>
      </c>
      <c r="C10" s="91">
        <v>1.0078999999999999E-3</v>
      </c>
      <c r="D10" s="98">
        <v>19.515000000000001</v>
      </c>
      <c r="E10" s="106">
        <v>167.53</v>
      </c>
      <c r="F10" s="102">
        <v>2429.4</v>
      </c>
      <c r="G10" s="110">
        <v>167.53</v>
      </c>
      <c r="H10" s="102">
        <v>2405.9699999999998</v>
      </c>
      <c r="I10" s="102">
        <v>2573.5</v>
      </c>
      <c r="J10" s="95">
        <v>0.57240000000000002</v>
      </c>
      <c r="K10" s="93">
        <v>7.6830999999999996</v>
      </c>
      <c r="L10" s="116">
        <v>8.2554999999999996</v>
      </c>
    </row>
    <row r="11" spans="1:25" ht="21" x14ac:dyDescent="0.5">
      <c r="A11" s="118">
        <v>45</v>
      </c>
      <c r="B11" s="121">
        <v>9.5949999999999994E-3</v>
      </c>
      <c r="C11" s="91">
        <v>1.0099E-3</v>
      </c>
      <c r="D11" s="98">
        <v>15.252000000000001</v>
      </c>
      <c r="E11" s="106">
        <v>188.43</v>
      </c>
      <c r="F11" s="102">
        <v>2436.1</v>
      </c>
      <c r="G11" s="110">
        <v>188.43</v>
      </c>
      <c r="H11" s="102">
        <v>2393.9700000000003</v>
      </c>
      <c r="I11" s="102">
        <v>2582.4</v>
      </c>
      <c r="J11" s="95">
        <v>0.63861000000000001</v>
      </c>
      <c r="K11" s="93">
        <v>7.5246899999999997</v>
      </c>
      <c r="L11" s="116">
        <v>8.1632999999999996</v>
      </c>
    </row>
    <row r="12" spans="1:25" ht="21" x14ac:dyDescent="0.5">
      <c r="A12" s="118">
        <v>50</v>
      </c>
      <c r="B12" s="122">
        <v>1.2352E-2</v>
      </c>
      <c r="C12" s="91">
        <v>1.0120999999999999E-3</v>
      </c>
      <c r="D12" s="98">
        <v>12.026999999999999</v>
      </c>
      <c r="E12" s="106">
        <v>209.33</v>
      </c>
      <c r="F12" s="102">
        <v>2442.6999999999998</v>
      </c>
      <c r="G12" s="110">
        <v>209.34</v>
      </c>
      <c r="H12" s="102">
        <v>2381.96</v>
      </c>
      <c r="I12" s="102">
        <v>2591.3000000000002</v>
      </c>
      <c r="J12" s="95">
        <v>0.70381000000000005</v>
      </c>
      <c r="K12" s="93">
        <v>7.3709899999999999</v>
      </c>
      <c r="L12" s="116">
        <v>8.0747999999999998</v>
      </c>
    </row>
    <row r="13" spans="1:25" ht="21" x14ac:dyDescent="0.5">
      <c r="A13" s="118">
        <v>55</v>
      </c>
      <c r="B13" s="122">
        <v>1.5762000000000002E-2</v>
      </c>
      <c r="C13" s="91">
        <v>1.0146000000000001E-3</v>
      </c>
      <c r="D13" s="99">
        <v>9.5642999999999994</v>
      </c>
      <c r="E13" s="106">
        <v>230.24</v>
      </c>
      <c r="F13" s="102">
        <v>2449.3000000000002</v>
      </c>
      <c r="G13" s="110">
        <v>230.26</v>
      </c>
      <c r="H13" s="102">
        <v>2369.84</v>
      </c>
      <c r="I13" s="102">
        <v>2600.1</v>
      </c>
      <c r="J13" s="95">
        <v>0.76802000000000004</v>
      </c>
      <c r="K13" s="93">
        <v>7.2217799999999999</v>
      </c>
      <c r="L13" s="116">
        <v>7.9897999999999998</v>
      </c>
    </row>
    <row r="14" spans="1:25" ht="21" x14ac:dyDescent="0.5">
      <c r="A14" s="118">
        <v>60</v>
      </c>
      <c r="B14" s="122">
        <v>1.9945999999999998E-2</v>
      </c>
      <c r="C14" s="91">
        <v>1.0170999999999999E-3</v>
      </c>
      <c r="D14" s="99">
        <v>7.6672000000000002</v>
      </c>
      <c r="E14" s="106">
        <v>251.16</v>
      </c>
      <c r="F14" s="102">
        <v>2455.9</v>
      </c>
      <c r="G14" s="110">
        <v>251.18</v>
      </c>
      <c r="H14" s="102">
        <v>2357.6200000000003</v>
      </c>
      <c r="I14" s="102">
        <v>2608.8000000000002</v>
      </c>
      <c r="J14" s="95">
        <v>0.83128999999999997</v>
      </c>
      <c r="K14" s="93">
        <v>7.07681</v>
      </c>
      <c r="L14" s="116">
        <v>7.9081000000000001</v>
      </c>
    </row>
    <row r="15" spans="1:25" ht="21" x14ac:dyDescent="0.5">
      <c r="A15" s="118">
        <v>65</v>
      </c>
      <c r="B15" s="122">
        <v>2.5041999999999998E-2</v>
      </c>
      <c r="C15" s="91">
        <v>1.0199E-3</v>
      </c>
      <c r="D15" s="99">
        <v>6.1935000000000002</v>
      </c>
      <c r="E15" s="106">
        <v>272.08999999999997</v>
      </c>
      <c r="F15" s="102">
        <v>2462.4</v>
      </c>
      <c r="G15" s="110">
        <v>272.12</v>
      </c>
      <c r="H15" s="102">
        <v>2345.38</v>
      </c>
      <c r="I15" s="102">
        <v>2617.5</v>
      </c>
      <c r="J15" s="95">
        <v>0.89365000000000006</v>
      </c>
      <c r="K15" s="93">
        <v>6.9359500000000001</v>
      </c>
      <c r="L15" s="116">
        <v>7.8296000000000001</v>
      </c>
    </row>
    <row r="16" spans="1:25" ht="21" x14ac:dyDescent="0.5">
      <c r="A16" s="118">
        <v>70</v>
      </c>
      <c r="B16" s="122">
        <v>3.1201E-2</v>
      </c>
      <c r="C16" s="91">
        <v>1.0227999999999999E-3</v>
      </c>
      <c r="D16" s="99">
        <v>5.0395000000000003</v>
      </c>
      <c r="E16" s="106">
        <v>293.02999999999997</v>
      </c>
      <c r="F16" s="102">
        <v>2468.9</v>
      </c>
      <c r="G16" s="110">
        <v>293.07</v>
      </c>
      <c r="H16" s="102">
        <v>2333.0299999999997</v>
      </c>
      <c r="I16" s="102">
        <v>2626.1</v>
      </c>
      <c r="J16" s="95">
        <v>0.95513000000000003</v>
      </c>
      <c r="K16" s="93">
        <v>6.7988699999999991</v>
      </c>
      <c r="L16" s="101">
        <v>7.7539999999999996</v>
      </c>
    </row>
    <row r="17" spans="1:12" ht="21" x14ac:dyDescent="0.5">
      <c r="A17" s="118">
        <v>75</v>
      </c>
      <c r="B17" s="122">
        <v>3.8594999999999997E-2</v>
      </c>
      <c r="C17" s="91">
        <v>1.0258000000000001E-3</v>
      </c>
      <c r="D17" s="99">
        <v>4.1288999999999998</v>
      </c>
      <c r="E17" s="106">
        <v>313.99</v>
      </c>
      <c r="F17" s="102">
        <v>2475.1999999999998</v>
      </c>
      <c r="G17" s="110">
        <v>314.02999999999997</v>
      </c>
      <c r="H17" s="102">
        <v>2320.5699999999997</v>
      </c>
      <c r="I17" s="102">
        <v>2634.6</v>
      </c>
      <c r="J17" s="96">
        <v>1.0158</v>
      </c>
      <c r="K17" s="93">
        <v>6.6654</v>
      </c>
      <c r="L17" s="116">
        <v>7.6811999999999996</v>
      </c>
    </row>
    <row r="18" spans="1:12" ht="21" x14ac:dyDescent="0.5">
      <c r="A18" s="118">
        <v>80</v>
      </c>
      <c r="B18" s="122">
        <v>4.7413999999999998E-2</v>
      </c>
      <c r="C18" s="91">
        <v>1.0291E-3</v>
      </c>
      <c r="D18" s="99">
        <v>3.4051999999999998</v>
      </c>
      <c r="E18" s="106">
        <v>334.96</v>
      </c>
      <c r="F18" s="102">
        <v>2481.6</v>
      </c>
      <c r="G18" s="110">
        <v>335.01</v>
      </c>
      <c r="H18" s="102">
        <v>2307.9899999999998</v>
      </c>
      <c r="I18" s="102">
        <v>2643</v>
      </c>
      <c r="J18" s="96">
        <v>1.0755999999999999</v>
      </c>
      <c r="K18" s="93">
        <v>6.5355000000000008</v>
      </c>
      <c r="L18" s="116">
        <v>7.6111000000000004</v>
      </c>
    </row>
    <row r="19" spans="1:12" ht="21" x14ac:dyDescent="0.5">
      <c r="A19" s="118">
        <v>85</v>
      </c>
      <c r="B19" s="122">
        <v>5.7867000000000002E-2</v>
      </c>
      <c r="C19" s="91">
        <v>1.0323999999999999E-3</v>
      </c>
      <c r="D19" s="99">
        <v>2.8258000000000001</v>
      </c>
      <c r="E19" s="106">
        <v>355.95</v>
      </c>
      <c r="F19" s="102">
        <v>2487.8000000000002</v>
      </c>
      <c r="G19" s="110">
        <v>356.01</v>
      </c>
      <c r="H19" s="102">
        <v>2295.29</v>
      </c>
      <c r="I19" s="102">
        <v>2651.3</v>
      </c>
      <c r="J19" s="96">
        <v>1.1346000000000001</v>
      </c>
      <c r="K19" s="93">
        <v>6.4088000000000003</v>
      </c>
      <c r="L19" s="116">
        <v>7.5434000000000001</v>
      </c>
    </row>
    <row r="20" spans="1:12" ht="21" x14ac:dyDescent="0.5">
      <c r="A20" s="118">
        <v>90</v>
      </c>
      <c r="B20" s="122">
        <v>7.0181999999999994E-2</v>
      </c>
      <c r="C20" s="91">
        <v>1.036E-3</v>
      </c>
      <c r="D20" s="99">
        <v>2.3591000000000002</v>
      </c>
      <c r="E20" s="106">
        <v>376.97</v>
      </c>
      <c r="F20" s="102">
        <v>2494</v>
      </c>
      <c r="G20" s="110">
        <v>377.04</v>
      </c>
      <c r="H20" s="102">
        <v>2282.46</v>
      </c>
      <c r="I20" s="102">
        <v>2659.5</v>
      </c>
      <c r="J20" s="96">
        <v>1.1929000000000001</v>
      </c>
      <c r="K20" s="93">
        <v>6.2852000000000006</v>
      </c>
      <c r="L20" s="116">
        <v>7.4781000000000004</v>
      </c>
    </row>
    <row r="21" spans="1:12" ht="21" x14ac:dyDescent="0.5">
      <c r="A21" s="118">
        <v>95</v>
      </c>
      <c r="B21" s="122">
        <v>8.4608000000000003E-2</v>
      </c>
      <c r="C21" s="91">
        <v>1.0395999999999999E-3</v>
      </c>
      <c r="D21" s="99">
        <v>1.9805999999999999</v>
      </c>
      <c r="E21" s="106">
        <v>398</v>
      </c>
      <c r="F21" s="102">
        <v>2500</v>
      </c>
      <c r="G21" s="110">
        <v>398.09</v>
      </c>
      <c r="H21" s="102">
        <v>2269.5099999999998</v>
      </c>
      <c r="I21" s="102">
        <v>2667.6</v>
      </c>
      <c r="J21" s="96">
        <v>1.2504</v>
      </c>
      <c r="K21" s="93">
        <v>6.1646999999999998</v>
      </c>
      <c r="L21" s="116">
        <v>7.4150999999999998</v>
      </c>
    </row>
    <row r="22" spans="1:12" ht="21" x14ac:dyDescent="0.5">
      <c r="A22" s="118">
        <v>100</v>
      </c>
      <c r="B22" s="123">
        <v>0.10142</v>
      </c>
      <c r="C22" s="91">
        <v>1.0434999999999999E-3</v>
      </c>
      <c r="D22" s="99">
        <v>1.6718</v>
      </c>
      <c r="E22" s="106">
        <v>419.06</v>
      </c>
      <c r="F22" s="102">
        <v>2506</v>
      </c>
      <c r="G22" s="110">
        <v>419.17</v>
      </c>
      <c r="H22" s="102">
        <v>2256.4299999999998</v>
      </c>
      <c r="I22" s="102">
        <v>2675.6</v>
      </c>
      <c r="J22" s="96">
        <v>1.3071999999999999</v>
      </c>
      <c r="K22" s="93">
        <v>6.0468999999999999</v>
      </c>
      <c r="L22" s="116">
        <v>7.3540999999999999</v>
      </c>
    </row>
    <row r="23" spans="1:12" ht="21" x14ac:dyDescent="0.5">
      <c r="A23" s="118">
        <v>110</v>
      </c>
      <c r="B23" s="123">
        <v>0.14338000000000001</v>
      </c>
      <c r="C23" s="91">
        <v>1.0516E-3</v>
      </c>
      <c r="D23" s="99">
        <v>1.2093</v>
      </c>
      <c r="E23" s="106">
        <v>461.26</v>
      </c>
      <c r="F23" s="102">
        <v>2517.6999999999998</v>
      </c>
      <c r="G23" s="110">
        <v>461.42</v>
      </c>
      <c r="H23" s="102">
        <v>2229.6799999999998</v>
      </c>
      <c r="I23" s="102">
        <v>2691.1</v>
      </c>
      <c r="J23" s="96">
        <v>1.4188000000000001</v>
      </c>
      <c r="K23" s="93">
        <v>5.8193000000000001</v>
      </c>
      <c r="L23" s="116">
        <v>7.2381000000000002</v>
      </c>
    </row>
    <row r="24" spans="1:12" ht="21" x14ac:dyDescent="0.5">
      <c r="A24" s="118">
        <v>120</v>
      </c>
      <c r="B24" s="123">
        <v>0.19867000000000001</v>
      </c>
      <c r="C24" s="91">
        <v>1.0602999999999999E-3</v>
      </c>
      <c r="D24" s="93">
        <v>0.89120999999999995</v>
      </c>
      <c r="E24" s="106">
        <v>503.6</v>
      </c>
      <c r="F24" s="102">
        <v>2528.9</v>
      </c>
      <c r="G24" s="110">
        <v>503.81</v>
      </c>
      <c r="H24" s="102">
        <v>2202.09</v>
      </c>
      <c r="I24" s="102">
        <v>2705.9</v>
      </c>
      <c r="J24" s="96">
        <v>1.5279</v>
      </c>
      <c r="K24" s="93">
        <v>5.6012000000000004</v>
      </c>
      <c r="L24" s="116">
        <v>7.1291000000000002</v>
      </c>
    </row>
    <row r="25" spans="1:12" ht="21" x14ac:dyDescent="0.5">
      <c r="A25" s="118">
        <v>130</v>
      </c>
      <c r="B25" s="123">
        <v>0.27028000000000002</v>
      </c>
      <c r="C25" s="91">
        <v>1.0697E-3</v>
      </c>
      <c r="D25" s="93">
        <v>0.66800000000000004</v>
      </c>
      <c r="E25" s="106">
        <v>546.09</v>
      </c>
      <c r="F25" s="102">
        <v>2539.5</v>
      </c>
      <c r="G25" s="110">
        <v>546.38</v>
      </c>
      <c r="H25" s="102">
        <v>2173.7199999999998</v>
      </c>
      <c r="I25" s="102">
        <v>2720.1</v>
      </c>
      <c r="J25" s="96">
        <v>1.6346000000000001</v>
      </c>
      <c r="K25" s="93">
        <v>5.3917999999999999</v>
      </c>
      <c r="L25" s="116">
        <v>7.0263999999999998</v>
      </c>
    </row>
    <row r="26" spans="1:12" ht="21" x14ac:dyDescent="0.5">
      <c r="A26" s="118">
        <v>140</v>
      </c>
      <c r="B26" s="123">
        <v>0.36153999999999997</v>
      </c>
      <c r="C26" s="91">
        <v>1.0797999999999999E-3</v>
      </c>
      <c r="D26" s="93">
        <v>0.50844999999999996</v>
      </c>
      <c r="E26" s="106">
        <v>588.77</v>
      </c>
      <c r="F26" s="102">
        <v>2549.6</v>
      </c>
      <c r="G26" s="110">
        <v>589.16</v>
      </c>
      <c r="H26" s="102">
        <v>2144.2400000000002</v>
      </c>
      <c r="I26" s="102">
        <v>2733.4</v>
      </c>
      <c r="J26" s="96">
        <v>1.7392000000000001</v>
      </c>
      <c r="K26" s="93">
        <v>5.1900999999999993</v>
      </c>
      <c r="L26" s="116">
        <v>6.9292999999999996</v>
      </c>
    </row>
    <row r="27" spans="1:12" ht="21" x14ac:dyDescent="0.5">
      <c r="A27" s="118">
        <v>150</v>
      </c>
      <c r="B27" s="123">
        <v>0.47616000000000003</v>
      </c>
      <c r="C27" s="91">
        <v>1.0905000000000001E-3</v>
      </c>
      <c r="D27" s="93">
        <v>0.39245000000000002</v>
      </c>
      <c r="E27" s="106">
        <v>631.66</v>
      </c>
      <c r="F27" s="102">
        <v>2559.1</v>
      </c>
      <c r="G27" s="110">
        <v>632.17999999999995</v>
      </c>
      <c r="H27" s="102">
        <v>2113.7200000000003</v>
      </c>
      <c r="I27" s="102">
        <v>2745.9</v>
      </c>
      <c r="J27" s="96">
        <v>1.8418000000000001</v>
      </c>
      <c r="K27" s="93">
        <v>4.9953000000000003</v>
      </c>
      <c r="L27" s="116">
        <v>6.8371000000000004</v>
      </c>
    </row>
    <row r="28" spans="1:12" ht="21" x14ac:dyDescent="0.5">
      <c r="A28" s="118">
        <v>160</v>
      </c>
      <c r="B28" s="123">
        <v>0.61822999999999995</v>
      </c>
      <c r="C28" s="91">
        <v>1.1019999999999999E-3</v>
      </c>
      <c r="D28" s="93">
        <v>0.30678</v>
      </c>
      <c r="E28" s="106">
        <v>674.79</v>
      </c>
      <c r="F28" s="102">
        <v>2567.8000000000002</v>
      </c>
      <c r="G28" s="110">
        <v>675.47</v>
      </c>
      <c r="H28" s="102">
        <v>2081.9300000000003</v>
      </c>
      <c r="I28" s="102">
        <v>2757.4</v>
      </c>
      <c r="J28" s="96">
        <v>1.9426000000000001</v>
      </c>
      <c r="K28" s="93">
        <v>4.8064999999999998</v>
      </c>
      <c r="L28" s="116">
        <v>6.7491000000000003</v>
      </c>
    </row>
    <row r="29" spans="1:12" ht="21" x14ac:dyDescent="0.5">
      <c r="A29" s="118">
        <v>170</v>
      </c>
      <c r="B29" s="123">
        <v>0.79218999999999995</v>
      </c>
      <c r="C29" s="91">
        <v>1.1142999999999999E-3</v>
      </c>
      <c r="D29" s="93">
        <v>0.24259</v>
      </c>
      <c r="E29" s="106">
        <v>718.2</v>
      </c>
      <c r="F29" s="102">
        <v>2575.6999999999998</v>
      </c>
      <c r="G29" s="110">
        <v>719.08</v>
      </c>
      <c r="H29" s="102">
        <v>2048.8200000000002</v>
      </c>
      <c r="I29" s="102">
        <v>2767.9</v>
      </c>
      <c r="J29" s="96">
        <v>2.0417000000000001</v>
      </c>
      <c r="K29" s="93">
        <v>4.6233000000000004</v>
      </c>
      <c r="L29" s="101">
        <v>6.665</v>
      </c>
    </row>
    <row r="30" spans="1:12" ht="21" x14ac:dyDescent="0.5">
      <c r="A30" s="118">
        <v>180</v>
      </c>
      <c r="B30" s="123">
        <v>1.0027999999999999</v>
      </c>
      <c r="C30" s="91">
        <v>1.1274E-3</v>
      </c>
      <c r="D30" s="93">
        <v>0.19384000000000001</v>
      </c>
      <c r="E30" s="106">
        <v>761.92</v>
      </c>
      <c r="F30" s="102">
        <v>2582.8000000000002</v>
      </c>
      <c r="G30" s="110">
        <v>763.05</v>
      </c>
      <c r="H30" s="102">
        <v>2014.1499999999999</v>
      </c>
      <c r="I30" s="102">
        <v>2777.2</v>
      </c>
      <c r="J30" s="96">
        <v>2.1392000000000002</v>
      </c>
      <c r="K30" s="93">
        <v>4.444799999999999</v>
      </c>
      <c r="L30" s="101">
        <v>6.5839999999999996</v>
      </c>
    </row>
    <row r="31" spans="1:12" ht="21" x14ac:dyDescent="0.5">
      <c r="A31" s="118">
        <v>190</v>
      </c>
      <c r="B31" s="123">
        <v>1.2552000000000001</v>
      </c>
      <c r="C31" s="91">
        <v>1.1414999999999999E-3</v>
      </c>
      <c r="D31" s="93">
        <v>0.15636</v>
      </c>
      <c r="E31" s="106">
        <v>806</v>
      </c>
      <c r="F31" s="102">
        <v>2589</v>
      </c>
      <c r="G31" s="110">
        <v>807.43</v>
      </c>
      <c r="H31" s="102">
        <v>1977.8700000000003</v>
      </c>
      <c r="I31" s="102">
        <v>2785.3</v>
      </c>
      <c r="J31" s="96">
        <v>2.2355</v>
      </c>
      <c r="K31" s="93">
        <v>4.2703999999999995</v>
      </c>
      <c r="L31" s="116">
        <v>6.5058999999999996</v>
      </c>
    </row>
    <row r="32" spans="1:12" ht="21" x14ac:dyDescent="0.5">
      <c r="A32" s="118">
        <v>200</v>
      </c>
      <c r="B32" s="123">
        <v>1.5548999999999999</v>
      </c>
      <c r="C32" s="91">
        <v>1.1565E-3</v>
      </c>
      <c r="D32" s="93">
        <v>0.12720999999999999</v>
      </c>
      <c r="E32" s="106">
        <v>850.47</v>
      </c>
      <c r="F32" s="102">
        <v>2594.1999999999998</v>
      </c>
      <c r="G32" s="110">
        <v>852.27</v>
      </c>
      <c r="H32" s="102">
        <v>1939.73</v>
      </c>
      <c r="I32" s="102">
        <v>2792</v>
      </c>
      <c r="J32" s="96">
        <v>2.3304999999999998</v>
      </c>
      <c r="K32" s="93">
        <v>4.0997000000000003</v>
      </c>
      <c r="L32" s="116">
        <v>6.4302000000000001</v>
      </c>
    </row>
    <row r="33" spans="1:14" ht="21" x14ac:dyDescent="0.5">
      <c r="A33" s="118">
        <v>210</v>
      </c>
      <c r="B33" s="123">
        <v>1.9077</v>
      </c>
      <c r="C33" s="91">
        <v>1.1727E-3</v>
      </c>
      <c r="D33" s="93">
        <v>0.10428999999999999</v>
      </c>
      <c r="E33" s="106">
        <v>895.39</v>
      </c>
      <c r="F33" s="102">
        <v>2598.3000000000002</v>
      </c>
      <c r="G33" s="110">
        <v>897.63</v>
      </c>
      <c r="H33" s="102">
        <v>1899.67</v>
      </c>
      <c r="I33" s="102">
        <v>2797.3</v>
      </c>
      <c r="J33" s="96">
        <v>2.4245000000000001</v>
      </c>
      <c r="K33" s="93">
        <v>3.9318</v>
      </c>
      <c r="L33" s="116">
        <v>6.3563000000000001</v>
      </c>
    </row>
    <row r="34" spans="1:14" ht="21" x14ac:dyDescent="0.5">
      <c r="A34" s="118">
        <v>220</v>
      </c>
      <c r="B34" s="123">
        <v>2.3195999999999999</v>
      </c>
      <c r="C34" s="91">
        <v>1.1902E-3</v>
      </c>
      <c r="D34" s="92">
        <v>8.6092000000000002E-2</v>
      </c>
      <c r="E34" s="106">
        <v>940.82</v>
      </c>
      <c r="F34" s="102">
        <v>2601.1999999999998</v>
      </c>
      <c r="G34" s="110">
        <v>943.58</v>
      </c>
      <c r="H34" s="102">
        <v>1857.3200000000002</v>
      </c>
      <c r="I34" s="102">
        <v>2800.9</v>
      </c>
      <c r="J34" s="96">
        <v>2.5177</v>
      </c>
      <c r="K34" s="93">
        <v>3.7662999999999998</v>
      </c>
      <c r="L34" s="101">
        <v>6.2839999999999998</v>
      </c>
      <c r="N34" s="138">
        <f xml:space="preserve"> $O$4</f>
        <v>20</v>
      </c>
    </row>
    <row r="35" spans="1:14" ht="21" x14ac:dyDescent="0.5">
      <c r="A35" s="118">
        <v>230</v>
      </c>
      <c r="B35" s="123">
        <v>2.7970999999999999</v>
      </c>
      <c r="C35" s="91">
        <v>1.209E-3</v>
      </c>
      <c r="D35" s="92">
        <v>7.1502999999999997E-2</v>
      </c>
      <c r="E35" s="106">
        <v>986.81</v>
      </c>
      <c r="F35" s="102">
        <v>2602.9</v>
      </c>
      <c r="G35" s="110">
        <v>990.19</v>
      </c>
      <c r="H35" s="102">
        <v>1812.71</v>
      </c>
      <c r="I35" s="102">
        <v>2802.9</v>
      </c>
      <c r="J35" s="96">
        <v>2.6101000000000001</v>
      </c>
      <c r="K35" s="93">
        <v>3.6026999999999996</v>
      </c>
      <c r="L35" s="116">
        <v>6.2127999999999997</v>
      </c>
      <c r="N35" s="138">
        <f>U6</f>
        <v>0.29648000000000002</v>
      </c>
    </row>
    <row r="36" spans="1:14" ht="21" x14ac:dyDescent="0.5">
      <c r="A36" s="118">
        <v>240</v>
      </c>
      <c r="B36" s="123">
        <v>3.3469000000000002</v>
      </c>
      <c r="C36" s="91">
        <v>1.2294999999999999E-3</v>
      </c>
      <c r="D36" s="92">
        <v>5.9705000000000001E-2</v>
      </c>
      <c r="E36" s="106">
        <v>1033.4000000000001</v>
      </c>
      <c r="F36" s="102">
        <v>2603.1</v>
      </c>
      <c r="G36" s="110">
        <v>1037.5999999999999</v>
      </c>
      <c r="H36" s="102">
        <v>1765.4</v>
      </c>
      <c r="I36" s="102">
        <v>2803</v>
      </c>
      <c r="J36" s="95">
        <v>2.702</v>
      </c>
      <c r="K36" s="93">
        <v>3.4402999999999997</v>
      </c>
      <c r="L36" s="116">
        <v>6.1422999999999996</v>
      </c>
      <c r="N36" s="138">
        <f xml:space="preserve"> $O$4</f>
        <v>20</v>
      </c>
    </row>
    <row r="37" spans="1:14" ht="21" x14ac:dyDescent="0.5">
      <c r="A37" s="118">
        <v>250</v>
      </c>
      <c r="B37" s="123">
        <v>3.9762</v>
      </c>
      <c r="C37" s="91">
        <v>1.2516999999999999E-3</v>
      </c>
      <c r="D37" s="92">
        <v>5.0083000000000003E-2</v>
      </c>
      <c r="E37" s="106">
        <v>1080.8</v>
      </c>
      <c r="F37" s="102">
        <v>2601.8000000000002</v>
      </c>
      <c r="G37" s="110">
        <v>1085.8</v>
      </c>
      <c r="H37" s="102">
        <v>1715.1000000000001</v>
      </c>
      <c r="I37" s="102">
        <v>2800.9</v>
      </c>
      <c r="J37" s="96">
        <v>2.7934999999999999</v>
      </c>
      <c r="K37" s="93">
        <v>3.2786</v>
      </c>
      <c r="L37" s="116">
        <v>6.0720999999999998</v>
      </c>
      <c r="N37" s="138">
        <f>U7</f>
        <v>8.6660000000000004</v>
      </c>
    </row>
    <row r="38" spans="1:14" ht="21" x14ac:dyDescent="0.5">
      <c r="A38" s="118">
        <v>260</v>
      </c>
      <c r="B38" s="123">
        <v>4.6923000000000004</v>
      </c>
      <c r="C38" s="91">
        <v>1.2761000000000001E-3</v>
      </c>
      <c r="D38" s="92">
        <v>4.2173000000000002E-2</v>
      </c>
      <c r="E38" s="106">
        <v>1129</v>
      </c>
      <c r="F38" s="102">
        <v>2598.6999999999998</v>
      </c>
      <c r="G38" s="110">
        <v>1135</v>
      </c>
      <c r="H38" s="102">
        <v>1661.6</v>
      </c>
      <c r="I38" s="102">
        <v>2796.6</v>
      </c>
      <c r="J38" s="96">
        <v>2.8849</v>
      </c>
      <c r="K38" s="93">
        <v>3.1166999999999998</v>
      </c>
      <c r="L38" s="116">
        <v>6.0015999999999998</v>
      </c>
      <c r="N38" s="138">
        <f xml:space="preserve"> $O$4</f>
        <v>20</v>
      </c>
    </row>
    <row r="39" spans="1:14" ht="21" x14ac:dyDescent="0.5">
      <c r="A39" s="118">
        <v>270</v>
      </c>
      <c r="B39" s="123">
        <v>5.5030000000000001</v>
      </c>
      <c r="C39" s="91">
        <v>1.3029999999999999E-3</v>
      </c>
      <c r="D39" s="92">
        <v>3.5621E-2</v>
      </c>
      <c r="E39" s="106">
        <v>1178.0999999999999</v>
      </c>
      <c r="F39" s="102">
        <v>2593.6999999999998</v>
      </c>
      <c r="G39" s="110">
        <v>1185.3</v>
      </c>
      <c r="H39" s="102">
        <v>1604.3999999999999</v>
      </c>
      <c r="I39" s="102">
        <v>2789.7</v>
      </c>
      <c r="J39" s="96">
        <v>2.9765000000000001</v>
      </c>
      <c r="K39" s="93">
        <v>2.9538999999999995</v>
      </c>
      <c r="L39" s="116">
        <v>5.9303999999999997</v>
      </c>
      <c r="N39" s="138">
        <f>U9</f>
        <v>0.29648000000000002</v>
      </c>
    </row>
    <row r="40" spans="1:14" ht="21" x14ac:dyDescent="0.5">
      <c r="A40" s="118">
        <v>280</v>
      </c>
      <c r="B40" s="123">
        <v>6.4165999999999999</v>
      </c>
      <c r="C40" s="91">
        <v>1.3328000000000001E-3</v>
      </c>
      <c r="D40" s="92">
        <v>3.0152999999999999E-2</v>
      </c>
      <c r="E40" s="106">
        <v>1228.3</v>
      </c>
      <c r="F40" s="102">
        <v>2586.4</v>
      </c>
      <c r="G40" s="110">
        <v>1236.9000000000001</v>
      </c>
      <c r="H40" s="102">
        <v>1543</v>
      </c>
      <c r="I40" s="102">
        <v>2779.9</v>
      </c>
      <c r="J40" s="96">
        <v>3.0684999999999998</v>
      </c>
      <c r="K40" s="93">
        <v>2.7894000000000001</v>
      </c>
      <c r="L40" s="116">
        <v>5.8578999999999999</v>
      </c>
    </row>
    <row r="41" spans="1:14" ht="21" x14ac:dyDescent="0.5">
      <c r="A41" s="118">
        <v>290</v>
      </c>
      <c r="B41" s="123">
        <v>7.4417999999999997</v>
      </c>
      <c r="C41" s="91">
        <v>1.3663E-3</v>
      </c>
      <c r="D41" s="92">
        <v>2.5555000000000001E-2</v>
      </c>
      <c r="E41" s="106">
        <v>1279.9000000000001</v>
      </c>
      <c r="F41" s="102">
        <v>2576.5</v>
      </c>
      <c r="G41" s="110">
        <v>1290</v>
      </c>
      <c r="H41" s="102">
        <v>1476.6999999999998</v>
      </c>
      <c r="I41" s="102">
        <v>2766.7</v>
      </c>
      <c r="J41" s="96">
        <v>3.1612</v>
      </c>
      <c r="K41" s="93">
        <v>2.6222000000000003</v>
      </c>
      <c r="L41" s="116">
        <v>5.7834000000000003</v>
      </c>
    </row>
    <row r="42" spans="1:14" ht="21" x14ac:dyDescent="0.5">
      <c r="A42" s="118">
        <v>300</v>
      </c>
      <c r="B42" s="123">
        <v>8.5878999999999994</v>
      </c>
      <c r="C42" s="91">
        <v>1.4042E-3</v>
      </c>
      <c r="D42" s="92">
        <v>2.1659999999999999E-2</v>
      </c>
      <c r="E42" s="106">
        <v>1332.9</v>
      </c>
      <c r="F42" s="102">
        <v>2563.6</v>
      </c>
      <c r="G42" s="110">
        <v>1345</v>
      </c>
      <c r="H42" s="102">
        <v>1404.6</v>
      </c>
      <c r="I42" s="102">
        <v>2749.6</v>
      </c>
      <c r="J42" s="96">
        <v>3.2551999999999999</v>
      </c>
      <c r="K42" s="93">
        <v>2.4506999999999999</v>
      </c>
      <c r="L42" s="116">
        <v>5.7058999999999997</v>
      </c>
    </row>
    <row r="43" spans="1:14" ht="21" x14ac:dyDescent="0.5">
      <c r="A43" s="118">
        <v>310</v>
      </c>
      <c r="B43" s="123">
        <v>9.8651</v>
      </c>
      <c r="C43" s="91">
        <v>1.4479E-3</v>
      </c>
      <c r="D43" s="92">
        <v>1.8335000000000001E-2</v>
      </c>
      <c r="E43" s="106">
        <v>1387.9</v>
      </c>
      <c r="F43" s="102">
        <v>2547.1</v>
      </c>
      <c r="G43" s="110">
        <v>1402.2</v>
      </c>
      <c r="H43" s="102">
        <v>1325.7</v>
      </c>
      <c r="I43" s="102">
        <v>2727.9</v>
      </c>
      <c r="J43" s="95">
        <v>3.351</v>
      </c>
      <c r="K43" s="93">
        <v>2.2733999999999996</v>
      </c>
      <c r="L43" s="116">
        <v>5.6243999999999996</v>
      </c>
    </row>
    <row r="44" spans="1:14" ht="21" x14ac:dyDescent="0.5">
      <c r="A44" s="118">
        <v>320</v>
      </c>
      <c r="B44" s="124">
        <v>11.284000000000001</v>
      </c>
      <c r="C44" s="91">
        <v>1.4989999999999999E-3</v>
      </c>
      <c r="D44" s="92">
        <v>1.5471E-2</v>
      </c>
      <c r="E44" s="106">
        <v>1445.3</v>
      </c>
      <c r="F44" s="102">
        <v>2526</v>
      </c>
      <c r="G44" s="110">
        <v>1462.2</v>
      </c>
      <c r="H44" s="102">
        <v>1238.3999999999999</v>
      </c>
      <c r="I44" s="102">
        <v>2700.6</v>
      </c>
      <c r="J44" s="96">
        <v>3.4493999999999998</v>
      </c>
      <c r="K44" s="93">
        <v>2.0878000000000005</v>
      </c>
      <c r="L44" s="116">
        <v>5.5372000000000003</v>
      </c>
    </row>
    <row r="45" spans="1:14" ht="21" x14ac:dyDescent="0.5">
      <c r="A45" s="118">
        <v>330</v>
      </c>
      <c r="B45" s="124">
        <v>12.858000000000001</v>
      </c>
      <c r="C45" s="91">
        <v>1.5606000000000001E-3</v>
      </c>
      <c r="D45" s="92">
        <v>1.2978999999999999E-2</v>
      </c>
      <c r="E45" s="106">
        <v>1505.8</v>
      </c>
      <c r="F45" s="102">
        <v>2499.1999999999998</v>
      </c>
      <c r="G45" s="110">
        <v>1525.9</v>
      </c>
      <c r="H45" s="102">
        <v>1140.0999999999999</v>
      </c>
      <c r="I45" s="102">
        <v>2666</v>
      </c>
      <c r="J45" s="96">
        <v>3.5518000000000001</v>
      </c>
      <c r="K45" s="93">
        <v>1.8903999999999996</v>
      </c>
      <c r="L45" s="116">
        <v>5.4421999999999997</v>
      </c>
    </row>
    <row r="46" spans="1:14" ht="21" x14ac:dyDescent="0.5">
      <c r="A46" s="118">
        <v>340</v>
      </c>
      <c r="B46" s="124">
        <v>14.601000000000001</v>
      </c>
      <c r="C46" s="91">
        <v>1.6375999999999999E-3</v>
      </c>
      <c r="D46" s="92">
        <v>1.0781000000000001E-2</v>
      </c>
      <c r="E46" s="106">
        <v>1570.6</v>
      </c>
      <c r="F46" s="102">
        <v>2464.4</v>
      </c>
      <c r="G46" s="110">
        <v>1594.5</v>
      </c>
      <c r="H46" s="102">
        <v>1027.3000000000002</v>
      </c>
      <c r="I46" s="102">
        <v>2621.8</v>
      </c>
      <c r="J46" s="96">
        <v>3.6600999999999999</v>
      </c>
      <c r="K46" s="93">
        <v>1.6755000000000004</v>
      </c>
      <c r="L46" s="116">
        <v>5.3356000000000003</v>
      </c>
    </row>
    <row r="47" spans="1:14" ht="21" x14ac:dyDescent="0.5">
      <c r="A47" s="118">
        <v>350</v>
      </c>
      <c r="B47" s="124">
        <v>16.529</v>
      </c>
      <c r="C47" s="91">
        <v>1.74E-3</v>
      </c>
      <c r="D47" s="91">
        <v>8.8024000000000002E-3</v>
      </c>
      <c r="E47" s="106">
        <v>1642.1</v>
      </c>
      <c r="F47" s="102">
        <v>2418.1</v>
      </c>
      <c r="G47" s="110">
        <v>1670.9</v>
      </c>
      <c r="H47" s="102">
        <v>892.69999999999982</v>
      </c>
      <c r="I47" s="102">
        <v>2563.6</v>
      </c>
      <c r="J47" s="96">
        <v>3.7784</v>
      </c>
      <c r="K47" s="93">
        <v>1.4326000000000003</v>
      </c>
      <c r="L47" s="101">
        <v>5.2110000000000003</v>
      </c>
    </row>
    <row r="48" spans="1:14" ht="21" x14ac:dyDescent="0.5">
      <c r="A48" s="118">
        <v>360</v>
      </c>
      <c r="B48" s="124">
        <v>18.666</v>
      </c>
      <c r="C48" s="91">
        <v>1.8954E-3</v>
      </c>
      <c r="D48" s="91">
        <v>6.9493000000000003E-3</v>
      </c>
      <c r="E48" s="106">
        <v>1726.3</v>
      </c>
      <c r="F48" s="102">
        <v>2351.8000000000002</v>
      </c>
      <c r="G48" s="110">
        <v>1761.7</v>
      </c>
      <c r="H48" s="102">
        <v>719.8</v>
      </c>
      <c r="I48" s="102">
        <v>2481.5</v>
      </c>
      <c r="J48" s="96">
        <v>3.9167000000000001</v>
      </c>
      <c r="K48" s="93">
        <v>1.1369000000000002</v>
      </c>
      <c r="L48" s="116">
        <v>5.0536000000000003</v>
      </c>
    </row>
    <row r="49" spans="1:12" ht="21" x14ac:dyDescent="0.5">
      <c r="A49" s="118">
        <v>370</v>
      </c>
      <c r="B49" s="124">
        <v>21.044</v>
      </c>
      <c r="C49" s="91">
        <v>2.2152000000000001E-3</v>
      </c>
      <c r="D49" s="91">
        <v>4.9544000000000003E-3</v>
      </c>
      <c r="E49" s="106">
        <v>1844.1</v>
      </c>
      <c r="F49" s="102">
        <v>2230.3000000000002</v>
      </c>
      <c r="G49" s="110">
        <v>1890.7</v>
      </c>
      <c r="H49" s="102">
        <v>443.79999999999995</v>
      </c>
      <c r="I49" s="102">
        <v>2334.5</v>
      </c>
      <c r="J49" s="96">
        <v>4.1112000000000002</v>
      </c>
      <c r="K49" s="93">
        <v>0.6899999999999995</v>
      </c>
      <c r="L49" s="116">
        <v>4.8011999999999997</v>
      </c>
    </row>
    <row r="50" spans="1:12" ht="21" x14ac:dyDescent="0.5">
      <c r="A50" s="90">
        <v>373.95</v>
      </c>
      <c r="B50" s="85">
        <v>22.064</v>
      </c>
      <c r="C50" s="97">
        <v>3.1056E-3</v>
      </c>
      <c r="D50" s="97">
        <v>3.1056E-3</v>
      </c>
      <c r="E50" s="107">
        <v>2015.7</v>
      </c>
      <c r="F50" s="103">
        <v>2015.7</v>
      </c>
      <c r="G50" s="111">
        <v>2084.3000000000002</v>
      </c>
      <c r="H50" s="103">
        <v>0</v>
      </c>
      <c r="I50" s="103">
        <v>2084.3000000000002</v>
      </c>
      <c r="J50" s="114">
        <v>4.407</v>
      </c>
      <c r="K50" s="103">
        <v>0</v>
      </c>
      <c r="L50" s="108">
        <v>4.407</v>
      </c>
    </row>
    <row r="51" spans="1:12" ht="21" hidden="1" x14ac:dyDescent="0.5">
      <c r="A51" s="77">
        <v>373.95</v>
      </c>
      <c r="B51" s="82">
        <v>22.064</v>
      </c>
      <c r="C51" s="78">
        <v>3.1056E-3</v>
      </c>
      <c r="D51" s="78">
        <v>3.1056E-3</v>
      </c>
      <c r="E51" s="80">
        <v>2015.7</v>
      </c>
      <c r="F51" s="80">
        <v>2015.7</v>
      </c>
      <c r="G51" s="79">
        <v>2084.3000000000002</v>
      </c>
      <c r="H51" s="80">
        <v>0</v>
      </c>
      <c r="I51" s="80">
        <v>2084.3000000000002</v>
      </c>
      <c r="J51" s="81">
        <v>4.407</v>
      </c>
      <c r="K51" s="80">
        <v>0</v>
      </c>
      <c r="L51" s="81">
        <v>4.407</v>
      </c>
    </row>
  </sheetData>
  <mergeCells count="3">
    <mergeCell ref="M1:V1"/>
    <mergeCell ref="Q4:R4"/>
    <mergeCell ref="Q3:R3"/>
  </mergeCells>
  <hyperlinks>
    <hyperlink ref="Q4" r:id="rId1" display="https://www.ohio.edu/mechanical/thermo/property_tables/H2O/" xr:uid="{091E8081-F4C7-48A3-9D55-991480BEA3FF}"/>
  </hyperlinks>
  <pageMargins left="0.7" right="0.7" top="0.75" bottom="0.75" header="0.3" footer="0.3"/>
  <ignoredErrors>
    <ignoredError sqref="N35 N37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0B46E-B71E-4254-A488-BC88F9931EA0}">
  <sheetPr codeName="Sheet3"/>
  <dimension ref="A1:X54"/>
  <sheetViews>
    <sheetView showGridLines="0" zoomScale="80" zoomScaleNormal="80" workbookViewId="0">
      <pane ySplit="1" topLeftCell="A11" activePane="bottomLeft" state="frozen"/>
      <selection pane="bottomLeft" activeCell="B22" sqref="B22"/>
    </sheetView>
  </sheetViews>
  <sheetFormatPr defaultRowHeight="14.5" x14ac:dyDescent="0.35"/>
  <cols>
    <col min="1" max="1" width="10" style="55" customWidth="1"/>
    <col min="2" max="2" width="13.26953125" style="55" bestFit="1" customWidth="1"/>
    <col min="3" max="3" width="9.36328125" style="55" customWidth="1"/>
    <col min="4" max="4" width="9.54296875" style="55" customWidth="1"/>
    <col min="5" max="13" width="8.7265625" style="55"/>
    <col min="14" max="14" width="19.08984375" style="55" customWidth="1"/>
    <col min="15" max="15" width="10.08984375" style="55" customWidth="1"/>
    <col min="16" max="16" width="2.1796875" style="55" customWidth="1"/>
    <col min="17" max="17" width="19.08984375" style="55" customWidth="1"/>
    <col min="18" max="18" width="10.08984375" style="55" customWidth="1"/>
    <col min="19" max="19" width="2.1796875" style="55" customWidth="1"/>
    <col min="20" max="20" width="19.08984375" style="55" customWidth="1"/>
    <col min="21" max="21" width="10.08984375" style="55" customWidth="1"/>
    <col min="22" max="22" width="2.1796875" style="55" customWidth="1"/>
    <col min="23" max="23" width="19.08984375" style="55" customWidth="1"/>
    <col min="24" max="24" width="10.08984375" style="55" customWidth="1"/>
    <col min="25" max="16384" width="8.7265625" style="55"/>
  </cols>
  <sheetData>
    <row r="1" spans="1:24" s="137" customFormat="1" ht="43.5" x14ac:dyDescent="0.35">
      <c r="A1" s="135" t="s">
        <v>345</v>
      </c>
      <c r="B1" s="135" t="s">
        <v>344</v>
      </c>
      <c r="C1" s="135" t="s">
        <v>323</v>
      </c>
      <c r="D1" s="135" t="s">
        <v>324</v>
      </c>
      <c r="E1" s="135" t="s">
        <v>322</v>
      </c>
      <c r="F1" s="135" t="s">
        <v>325</v>
      </c>
      <c r="G1" s="135" t="s">
        <v>326</v>
      </c>
      <c r="H1" s="135" t="s">
        <v>327</v>
      </c>
      <c r="I1" s="135" t="s">
        <v>328</v>
      </c>
      <c r="J1" s="135" t="s">
        <v>329</v>
      </c>
      <c r="K1" s="135" t="s">
        <v>330</v>
      </c>
      <c r="L1" s="135" t="s">
        <v>331</v>
      </c>
      <c r="M1" s="161" t="s">
        <v>250</v>
      </c>
      <c r="N1" s="162"/>
      <c r="O1" s="162"/>
      <c r="P1" s="162"/>
      <c r="Q1" s="162"/>
      <c r="R1" s="162"/>
      <c r="S1" s="162"/>
      <c r="T1" s="162"/>
      <c r="U1" s="162"/>
      <c r="V1" s="162"/>
      <c r="W1" s="136"/>
      <c r="X1" s="136"/>
    </row>
    <row r="2" spans="1:24" ht="21.5" thickBot="1" x14ac:dyDescent="0.55000000000000004">
      <c r="A2" s="118">
        <v>1E-3</v>
      </c>
      <c r="B2" s="120">
        <v>6.9695999999999998</v>
      </c>
      <c r="C2" s="91">
        <v>1.0001000000000001E-3</v>
      </c>
      <c r="D2" s="98">
        <v>129.18</v>
      </c>
      <c r="E2" s="106">
        <v>29.297999999999998</v>
      </c>
      <c r="F2" s="102">
        <v>2384.5</v>
      </c>
      <c r="G2" s="110">
        <v>29.298999999999999</v>
      </c>
      <c r="H2" s="102">
        <v>2484.4009999999998</v>
      </c>
      <c r="I2" s="102">
        <v>2513.6999999999998</v>
      </c>
      <c r="J2" s="95">
        <v>0.10591</v>
      </c>
      <c r="K2" s="93">
        <v>8.8689900000000002</v>
      </c>
      <c r="L2" s="116">
        <v>8.9748999999999999</v>
      </c>
    </row>
    <row r="3" spans="1:24" ht="21" x14ac:dyDescent="0.5">
      <c r="A3" s="118">
        <v>1.1999999999999999E-3</v>
      </c>
      <c r="B3" s="120">
        <v>9.6538000000000004</v>
      </c>
      <c r="C3" s="91">
        <v>1.0003E-3</v>
      </c>
      <c r="D3" s="98">
        <v>108.67</v>
      </c>
      <c r="E3" s="106">
        <v>40.567999999999998</v>
      </c>
      <c r="F3" s="102">
        <v>2388.1999999999998</v>
      </c>
      <c r="G3" s="110">
        <v>40.569000000000003</v>
      </c>
      <c r="H3" s="102">
        <v>2478.0309999999999</v>
      </c>
      <c r="I3" s="102">
        <v>2518.6</v>
      </c>
      <c r="J3" s="95">
        <v>0.14595</v>
      </c>
      <c r="K3" s="93">
        <v>8.7622500000000016</v>
      </c>
      <c r="L3" s="116">
        <v>8.9082000000000008</v>
      </c>
      <c r="N3" s="89" t="s">
        <v>335</v>
      </c>
      <c r="O3" s="59">
        <v>0.45</v>
      </c>
      <c r="Q3" s="151" t="s">
        <v>346</v>
      </c>
      <c r="R3" s="153"/>
    </row>
    <row r="4" spans="1:24" ht="21.5" thickBot="1" x14ac:dyDescent="0.55000000000000004">
      <c r="A4" s="118">
        <v>1.4E-3</v>
      </c>
      <c r="B4" s="121">
        <v>11.968999999999999</v>
      </c>
      <c r="C4" s="91">
        <v>1.0005000000000001E-3</v>
      </c>
      <c r="D4" s="98">
        <v>93.899000000000001</v>
      </c>
      <c r="E4" s="106">
        <v>50.279000000000003</v>
      </c>
      <c r="F4" s="102">
        <v>2391.3000000000002</v>
      </c>
      <c r="G4" s="110">
        <v>50.28</v>
      </c>
      <c r="H4" s="102">
        <v>2472.52</v>
      </c>
      <c r="I4" s="102">
        <v>2522.8000000000002</v>
      </c>
      <c r="J4" s="95">
        <v>0.18015</v>
      </c>
      <c r="K4" s="93">
        <v>8.6719500000000007</v>
      </c>
      <c r="L4" s="116">
        <v>8.8521000000000001</v>
      </c>
      <c r="N4" s="88" t="s">
        <v>337</v>
      </c>
      <c r="O4" s="56">
        <v>8</v>
      </c>
      <c r="Q4" s="159" t="s">
        <v>347</v>
      </c>
      <c r="R4" s="160"/>
      <c r="S4" s="55" t="s">
        <v>304</v>
      </c>
    </row>
    <row r="5" spans="1:24" ht="21.5" thickBot="1" x14ac:dyDescent="0.55000000000000004">
      <c r="A5" s="118">
        <v>1.6000000000000001E-3</v>
      </c>
      <c r="B5" s="121">
        <v>14.01</v>
      </c>
      <c r="C5" s="91">
        <v>1.0008E-3</v>
      </c>
      <c r="D5" s="98">
        <v>82.742999999999995</v>
      </c>
      <c r="E5" s="106">
        <v>58.831000000000003</v>
      </c>
      <c r="F5" s="102">
        <v>2394.1</v>
      </c>
      <c r="G5" s="110">
        <v>58.832999999999998</v>
      </c>
      <c r="H5" s="102">
        <v>2467.6669999999999</v>
      </c>
      <c r="I5" s="102">
        <v>2526.5</v>
      </c>
      <c r="J5" s="95">
        <v>0.21004</v>
      </c>
      <c r="K5" s="93">
        <v>8.5934600000000003</v>
      </c>
      <c r="L5" s="116">
        <v>8.8034999999999997</v>
      </c>
    </row>
    <row r="6" spans="1:24" ht="21.5" thickBot="1" x14ac:dyDescent="0.55000000000000004">
      <c r="A6" s="118">
        <v>1.8E-3</v>
      </c>
      <c r="B6" s="121">
        <v>15.837</v>
      </c>
      <c r="C6" s="91">
        <v>1.0011E-3</v>
      </c>
      <c r="D6" s="98">
        <v>74.010999999999996</v>
      </c>
      <c r="E6" s="106">
        <v>66.486999999999995</v>
      </c>
      <c r="F6" s="102">
        <v>2396.6</v>
      </c>
      <c r="G6" s="110">
        <v>66.489000000000004</v>
      </c>
      <c r="H6" s="102">
        <v>2463.4110000000001</v>
      </c>
      <c r="I6" s="102">
        <v>2529.9</v>
      </c>
      <c r="J6" s="95">
        <v>0.23662</v>
      </c>
      <c r="K6" s="93">
        <v>8.5241799999999994</v>
      </c>
      <c r="L6" s="101">
        <v>8.7607999999999997</v>
      </c>
      <c r="N6" s="12" t="s">
        <v>332</v>
      </c>
      <c r="O6" s="58">
        <f xml:space="preserve"> VLOOKUP($O$4,$A$2:$L$50, 3, FALSE)</f>
        <v>1.3847E-3</v>
      </c>
      <c r="Q6" s="12" t="s">
        <v>343</v>
      </c>
      <c r="R6" s="58">
        <f xml:space="preserve"> VLOOKUP($O$4,$A$2:$L$50, 7, FALSE)</f>
        <v>1317.3</v>
      </c>
      <c r="T6" s="12" t="s">
        <v>340</v>
      </c>
      <c r="U6" s="58">
        <f xml:space="preserve"> VLOOKUP($O$4,$A$2:$L$50, 10, FALSE)</f>
        <v>3.2081</v>
      </c>
      <c r="W6" s="12" t="s">
        <v>350</v>
      </c>
      <c r="X6" s="58">
        <f xml:space="preserve"> VLOOKUP($O$4,$A$2:$L$50, 5, FALSE)</f>
        <v>1306.2</v>
      </c>
    </row>
    <row r="7" spans="1:24" ht="21.5" thickBot="1" x14ac:dyDescent="0.55000000000000004">
      <c r="A7" s="118">
        <v>2E-3</v>
      </c>
      <c r="B7" s="121">
        <v>17.495000000000001</v>
      </c>
      <c r="C7" s="91">
        <v>1.0013999999999999E-3</v>
      </c>
      <c r="D7" s="98">
        <v>66.986999999999995</v>
      </c>
      <c r="E7" s="106">
        <v>73.426000000000002</v>
      </c>
      <c r="F7" s="102">
        <v>2398.9</v>
      </c>
      <c r="G7" s="110">
        <v>73.427999999999997</v>
      </c>
      <c r="H7" s="102">
        <v>2459.4720000000002</v>
      </c>
      <c r="I7" s="102">
        <v>2532.9</v>
      </c>
      <c r="J7" s="95">
        <v>0.26056000000000001</v>
      </c>
      <c r="K7" s="93">
        <v>8.46204</v>
      </c>
      <c r="L7" s="116">
        <v>8.7225999999999999</v>
      </c>
      <c r="N7" s="87" t="s">
        <v>333</v>
      </c>
      <c r="O7" s="58">
        <f xml:space="preserve"> VLOOKUP($O$4,$A$2:$L$50, 4, FALSE)</f>
        <v>2.3525999999999998E-2</v>
      </c>
      <c r="Q7" s="12" t="s">
        <v>342</v>
      </c>
      <c r="R7" s="58">
        <f xml:space="preserve"> VLOOKUP($O$4,$A$2:$L$50, 9, FALSE)</f>
        <v>2758.7</v>
      </c>
      <c r="T7" s="12" t="s">
        <v>341</v>
      </c>
      <c r="U7" s="58">
        <f xml:space="preserve"> VLOOKUP($O$4,$A$2:$L$50, 12, FALSE)</f>
        <v>5.7450000000000001</v>
      </c>
      <c r="W7" s="12" t="s">
        <v>349</v>
      </c>
      <c r="X7" s="58">
        <f xml:space="preserve"> VLOOKUP($O$4,$A$2:$L$50, 6, FALSE)</f>
        <v>2570.5</v>
      </c>
    </row>
    <row r="8" spans="1:24" ht="21.5" thickBot="1" x14ac:dyDescent="0.55000000000000004">
      <c r="A8" s="118">
        <v>3.0000000000000001E-3</v>
      </c>
      <c r="B8" s="121">
        <v>24.079000000000001</v>
      </c>
      <c r="C8" s="91">
        <v>1.0028000000000001E-3</v>
      </c>
      <c r="D8" s="98">
        <v>45.652999999999999</v>
      </c>
      <c r="E8" s="106">
        <v>100.97</v>
      </c>
      <c r="F8" s="102">
        <v>2407.9</v>
      </c>
      <c r="G8" s="110">
        <v>100.98</v>
      </c>
      <c r="H8" s="102">
        <v>2443.8200000000002</v>
      </c>
      <c r="I8" s="102">
        <v>2544.8000000000002</v>
      </c>
      <c r="J8" s="95">
        <v>0.35428999999999999</v>
      </c>
      <c r="K8" s="93">
        <v>8.2221099999999989</v>
      </c>
      <c r="L8" s="101">
        <v>8.5763999999999996</v>
      </c>
    </row>
    <row r="9" spans="1:24" ht="21.5" thickBot="1" x14ac:dyDescent="0.55000000000000004">
      <c r="A9" s="118">
        <v>4.0000000000000001E-3</v>
      </c>
      <c r="B9" s="121">
        <v>28.96</v>
      </c>
      <c r="C9" s="91">
        <v>1.0041E-3</v>
      </c>
      <c r="D9" s="98">
        <v>34.790999999999997</v>
      </c>
      <c r="E9" s="106">
        <v>121.38</v>
      </c>
      <c r="F9" s="102">
        <v>2414.5</v>
      </c>
      <c r="G9" s="110">
        <v>121.39</v>
      </c>
      <c r="H9" s="102">
        <v>2432.31</v>
      </c>
      <c r="I9" s="102">
        <v>2553.6999999999998</v>
      </c>
      <c r="J9" s="95">
        <v>0.42238999999999999</v>
      </c>
      <c r="K9" s="93">
        <v>8.0510099999999998</v>
      </c>
      <c r="L9" s="116">
        <v>8.4733999999999998</v>
      </c>
      <c r="N9" s="86" t="s">
        <v>336</v>
      </c>
      <c r="O9" s="57">
        <f xml:space="preserve"> O7*O3 + O6*(1-O3)</f>
        <v>1.1348285E-2</v>
      </c>
      <c r="Q9" s="86" t="s">
        <v>338</v>
      </c>
      <c r="R9" s="57">
        <f xml:space="preserve"> R7*O3 + R6*(1-O3)</f>
        <v>1965.9299999999998</v>
      </c>
      <c r="T9" s="86" t="s">
        <v>339</v>
      </c>
      <c r="U9" s="57">
        <f xml:space="preserve"> U7*O3 + U6*(1-O3)</f>
        <v>4.3497050000000002</v>
      </c>
      <c r="W9" s="86" t="s">
        <v>351</v>
      </c>
      <c r="X9" s="57">
        <f xml:space="preserve"> X7*O3 + X6*(1-O3)</f>
        <v>1875.1350000000002</v>
      </c>
    </row>
    <row r="10" spans="1:24" ht="21" x14ac:dyDescent="0.5">
      <c r="A10" s="118">
        <v>6.0000000000000001E-3</v>
      </c>
      <c r="B10" s="121">
        <v>36.158999999999999</v>
      </c>
      <c r="C10" s="91">
        <v>1.0065E-3</v>
      </c>
      <c r="D10" s="98">
        <v>23.733000000000001</v>
      </c>
      <c r="E10" s="106">
        <v>151.47</v>
      </c>
      <c r="F10" s="102">
        <v>2424.1999999999998</v>
      </c>
      <c r="G10" s="110">
        <v>151.47999999999999</v>
      </c>
      <c r="H10" s="102">
        <v>2415.12</v>
      </c>
      <c r="I10" s="102">
        <v>2566.6</v>
      </c>
      <c r="J10" s="95">
        <v>0.52081999999999995</v>
      </c>
      <c r="K10" s="93">
        <v>7.808180000000001</v>
      </c>
      <c r="L10" s="116">
        <v>8.3290000000000006</v>
      </c>
    </row>
    <row r="11" spans="1:24" ht="21" x14ac:dyDescent="0.5">
      <c r="A11" s="118">
        <v>8.0000000000000002E-3</v>
      </c>
      <c r="B11" s="121">
        <v>41.509</v>
      </c>
      <c r="C11" s="91">
        <v>1.0085000000000001E-3</v>
      </c>
      <c r="D11" s="98">
        <v>18.099</v>
      </c>
      <c r="E11" s="106">
        <v>173.83</v>
      </c>
      <c r="F11" s="102">
        <v>2431.4</v>
      </c>
      <c r="G11" s="110">
        <v>173.84</v>
      </c>
      <c r="H11" s="102">
        <v>2402.3599999999997</v>
      </c>
      <c r="I11" s="102">
        <v>2576.1999999999998</v>
      </c>
      <c r="J11" s="95">
        <v>0.59248999999999996</v>
      </c>
      <c r="K11" s="93">
        <v>7.6348099999999999</v>
      </c>
      <c r="L11" s="116">
        <v>8.2272999999999996</v>
      </c>
    </row>
    <row r="12" spans="1:24" ht="21" x14ac:dyDescent="0.5">
      <c r="A12" s="118">
        <v>0.01</v>
      </c>
      <c r="B12" s="122">
        <v>45.805999999999997</v>
      </c>
      <c r="C12" s="91">
        <v>1.0103E-3</v>
      </c>
      <c r="D12" s="98">
        <v>14.67</v>
      </c>
      <c r="E12" s="106">
        <v>191.8</v>
      </c>
      <c r="F12" s="102">
        <v>2437.1999999999998</v>
      </c>
      <c r="G12" s="110">
        <v>191.81</v>
      </c>
      <c r="H12" s="102">
        <v>2392.09</v>
      </c>
      <c r="I12" s="102">
        <v>2583.9</v>
      </c>
      <c r="J12" s="95">
        <v>0.6492</v>
      </c>
      <c r="K12" s="93">
        <v>7.4995999999999992</v>
      </c>
      <c r="L12" s="116">
        <v>8.1487999999999996</v>
      </c>
    </row>
    <row r="13" spans="1:24" ht="21" x14ac:dyDescent="0.5">
      <c r="A13" s="118">
        <v>1.2E-2</v>
      </c>
      <c r="B13" s="122">
        <v>49.418999999999997</v>
      </c>
      <c r="C13" s="91">
        <v>1.0119E-3</v>
      </c>
      <c r="D13" s="99">
        <v>12.358000000000001</v>
      </c>
      <c r="E13" s="106">
        <v>206.9</v>
      </c>
      <c r="F13" s="102">
        <v>2442</v>
      </c>
      <c r="G13" s="110">
        <v>206.91</v>
      </c>
      <c r="H13" s="102">
        <v>2383.3900000000003</v>
      </c>
      <c r="I13" s="102">
        <v>2590.3000000000002</v>
      </c>
      <c r="J13" s="95">
        <v>0.69628000000000001</v>
      </c>
      <c r="K13" s="93">
        <v>7.3886199999999995</v>
      </c>
      <c r="L13" s="116">
        <v>8.0848999999999993</v>
      </c>
    </row>
    <row r="14" spans="1:24" ht="21" x14ac:dyDescent="0.5">
      <c r="A14" s="118">
        <v>1.4E-2</v>
      </c>
      <c r="B14" s="122">
        <v>52.546999999999997</v>
      </c>
      <c r="C14" s="91">
        <v>1.0134E-3</v>
      </c>
      <c r="D14" s="99">
        <v>10.691000000000001</v>
      </c>
      <c r="E14" s="106">
        <v>219.98</v>
      </c>
      <c r="F14" s="102">
        <v>2446.1</v>
      </c>
      <c r="G14" s="110">
        <v>219.99</v>
      </c>
      <c r="H14" s="102">
        <v>2375.8100000000004</v>
      </c>
      <c r="I14" s="102">
        <v>2595.8000000000002</v>
      </c>
      <c r="J14" s="95">
        <v>0.73663999999999996</v>
      </c>
      <c r="K14" s="93">
        <v>7.2944600000000008</v>
      </c>
      <c r="L14" s="116">
        <v>8.0311000000000003</v>
      </c>
    </row>
    <row r="15" spans="1:24" ht="21" x14ac:dyDescent="0.5">
      <c r="A15" s="118">
        <v>1.6E-2</v>
      </c>
      <c r="B15" s="122">
        <v>55.313000000000002</v>
      </c>
      <c r="C15" s="91">
        <v>1.0147000000000001E-3</v>
      </c>
      <c r="D15" s="99">
        <v>9.4306000000000001</v>
      </c>
      <c r="E15" s="106">
        <v>231.55</v>
      </c>
      <c r="F15" s="102">
        <v>2449.8000000000002</v>
      </c>
      <c r="G15" s="110">
        <v>231.57</v>
      </c>
      <c r="H15" s="102">
        <v>2369.0299999999997</v>
      </c>
      <c r="I15" s="102">
        <v>2600.6</v>
      </c>
      <c r="J15" s="95">
        <v>0.77200999999999997</v>
      </c>
      <c r="K15" s="93">
        <v>7.2125900000000005</v>
      </c>
      <c r="L15" s="116">
        <v>7.9846000000000004</v>
      </c>
    </row>
    <row r="16" spans="1:24" ht="21" x14ac:dyDescent="0.5">
      <c r="A16" s="118">
        <v>1.7999999999999999E-2</v>
      </c>
      <c r="B16" s="122">
        <v>57.798000000000002</v>
      </c>
      <c r="C16" s="91">
        <v>1.016E-3</v>
      </c>
      <c r="D16" s="99">
        <v>8.4430999999999994</v>
      </c>
      <c r="E16" s="106">
        <v>241.95</v>
      </c>
      <c r="F16" s="102">
        <v>2453</v>
      </c>
      <c r="G16" s="110">
        <v>241.96</v>
      </c>
      <c r="H16" s="102">
        <v>2363.04</v>
      </c>
      <c r="I16" s="102">
        <v>2605</v>
      </c>
      <c r="J16" s="95">
        <v>0.80354999999999999</v>
      </c>
      <c r="K16" s="93">
        <v>7.1401500000000002</v>
      </c>
      <c r="L16" s="101">
        <v>7.9436999999999998</v>
      </c>
    </row>
    <row r="17" spans="1:14" ht="21" x14ac:dyDescent="0.5">
      <c r="A17" s="118">
        <v>0.02</v>
      </c>
      <c r="B17" s="122">
        <v>60.058</v>
      </c>
      <c r="C17" s="91">
        <v>1.0172E-3</v>
      </c>
      <c r="D17" s="99">
        <v>7.6479999999999997</v>
      </c>
      <c r="E17" s="106">
        <v>251.4</v>
      </c>
      <c r="F17" s="102">
        <v>2456</v>
      </c>
      <c r="G17" s="110">
        <v>251.42</v>
      </c>
      <c r="H17" s="102">
        <v>2357.48</v>
      </c>
      <c r="I17" s="102">
        <v>2608.9</v>
      </c>
      <c r="J17" s="96">
        <v>0.83201999999999998</v>
      </c>
      <c r="K17" s="93">
        <v>7.0751799999999996</v>
      </c>
      <c r="L17" s="116">
        <v>7.9071999999999996</v>
      </c>
    </row>
    <row r="18" spans="1:14" ht="21" x14ac:dyDescent="0.5">
      <c r="A18" s="118">
        <v>0.03</v>
      </c>
      <c r="B18" s="122">
        <v>69.094999999999999</v>
      </c>
      <c r="C18" s="91">
        <v>1.0222E-3</v>
      </c>
      <c r="D18" s="99">
        <v>5.2283999999999997</v>
      </c>
      <c r="E18" s="106">
        <v>289.24</v>
      </c>
      <c r="F18" s="102">
        <v>2467.6999999999998</v>
      </c>
      <c r="G18" s="110">
        <v>289.27</v>
      </c>
      <c r="H18" s="102">
        <v>2335.23</v>
      </c>
      <c r="I18" s="102">
        <v>2624.5</v>
      </c>
      <c r="J18" s="96">
        <v>0.94406999999999996</v>
      </c>
      <c r="K18" s="93">
        <v>6.8234300000000001</v>
      </c>
      <c r="L18" s="116">
        <v>7.7675000000000001</v>
      </c>
    </row>
    <row r="19" spans="1:14" ht="21" x14ac:dyDescent="0.5">
      <c r="A19" s="118">
        <v>0.04</v>
      </c>
      <c r="B19" s="122">
        <v>75.856999999999999</v>
      </c>
      <c r="C19" s="91">
        <v>1.0264E-3</v>
      </c>
      <c r="D19" s="99">
        <v>3.9929999999999999</v>
      </c>
      <c r="E19" s="106">
        <v>317.58</v>
      </c>
      <c r="F19" s="102">
        <v>2476.3000000000002</v>
      </c>
      <c r="G19" s="110">
        <v>317.62</v>
      </c>
      <c r="H19" s="102">
        <v>2318.48</v>
      </c>
      <c r="I19" s="102">
        <v>2636.1</v>
      </c>
      <c r="J19" s="96">
        <v>1.0261</v>
      </c>
      <c r="K19" s="93">
        <v>6.6428999999999991</v>
      </c>
      <c r="L19" s="116">
        <v>7.6689999999999996</v>
      </c>
    </row>
    <row r="20" spans="1:14" ht="21" x14ac:dyDescent="0.5">
      <c r="A20" s="118">
        <v>0.06</v>
      </c>
      <c r="B20" s="122">
        <v>85.926000000000002</v>
      </c>
      <c r="C20" s="91">
        <v>1.0330999999999999E-3</v>
      </c>
      <c r="D20" s="99">
        <v>2.7317</v>
      </c>
      <c r="E20" s="106">
        <v>359.84</v>
      </c>
      <c r="F20" s="102">
        <v>2489</v>
      </c>
      <c r="G20" s="110">
        <v>359.91</v>
      </c>
      <c r="H20" s="102">
        <v>2292.9900000000002</v>
      </c>
      <c r="I20" s="102">
        <v>2652.9</v>
      </c>
      <c r="J20" s="96">
        <v>1.1454</v>
      </c>
      <c r="K20" s="93">
        <v>6.3856999999999999</v>
      </c>
      <c r="L20" s="116">
        <v>7.5311000000000003</v>
      </c>
    </row>
    <row r="21" spans="1:14" ht="21" x14ac:dyDescent="0.5">
      <c r="A21" s="118">
        <v>0.08</v>
      </c>
      <c r="B21" s="122">
        <v>93.486000000000004</v>
      </c>
      <c r="C21" s="91">
        <v>1.0384999999999999E-3</v>
      </c>
      <c r="D21" s="99">
        <v>2.0871</v>
      </c>
      <c r="E21" s="106">
        <v>391.63</v>
      </c>
      <c r="F21" s="102">
        <v>2498.1999999999998</v>
      </c>
      <c r="G21" s="110">
        <v>391.71</v>
      </c>
      <c r="H21" s="102">
        <v>2273.4899999999998</v>
      </c>
      <c r="I21" s="102">
        <v>2665.2</v>
      </c>
      <c r="J21" s="96">
        <v>1.2330000000000001</v>
      </c>
      <c r="K21" s="93">
        <v>6.2009000000000007</v>
      </c>
      <c r="L21" s="116">
        <v>7.4339000000000004</v>
      </c>
    </row>
    <row r="22" spans="1:14" ht="21" x14ac:dyDescent="0.5">
      <c r="A22" s="118">
        <v>0.1</v>
      </c>
      <c r="B22" s="123">
        <v>99.605999999999995</v>
      </c>
      <c r="C22" s="91">
        <v>1.0432E-3</v>
      </c>
      <c r="D22" s="99">
        <v>1.6939</v>
      </c>
      <c r="E22" s="106">
        <v>417.4</v>
      </c>
      <c r="F22" s="102">
        <v>2505.6</v>
      </c>
      <c r="G22" s="110">
        <v>417.5</v>
      </c>
      <c r="H22" s="102">
        <v>2257.4</v>
      </c>
      <c r="I22" s="102">
        <v>2674.9</v>
      </c>
      <c r="J22" s="96">
        <v>1.3028</v>
      </c>
      <c r="K22" s="93">
        <v>6.0559999999999992</v>
      </c>
      <c r="L22" s="116">
        <v>7.3587999999999996</v>
      </c>
    </row>
    <row r="23" spans="1:14" ht="21" x14ac:dyDescent="0.5">
      <c r="A23" s="118">
        <v>0.12</v>
      </c>
      <c r="B23" s="123">
        <v>104.78</v>
      </c>
      <c r="C23" s="91">
        <v>1.0472999999999999E-3</v>
      </c>
      <c r="D23" s="99">
        <v>1.4283999999999999</v>
      </c>
      <c r="E23" s="106">
        <v>439.23</v>
      </c>
      <c r="F23" s="102">
        <v>2511.6999999999998</v>
      </c>
      <c r="G23" s="110">
        <v>439.36</v>
      </c>
      <c r="H23" s="102">
        <v>2243.7399999999998</v>
      </c>
      <c r="I23" s="102">
        <v>2683.1</v>
      </c>
      <c r="J23" s="96">
        <v>1.3609</v>
      </c>
      <c r="K23" s="93">
        <v>5.9367999999999999</v>
      </c>
      <c r="L23" s="116">
        <v>7.2976999999999999</v>
      </c>
    </row>
    <row r="24" spans="1:14" ht="21" x14ac:dyDescent="0.5">
      <c r="A24" s="118">
        <v>0.14000000000000001</v>
      </c>
      <c r="B24" s="123">
        <v>109.29</v>
      </c>
      <c r="C24" s="91">
        <v>1.0510000000000001E-3</v>
      </c>
      <c r="D24" s="93">
        <v>1.2365999999999999</v>
      </c>
      <c r="E24" s="106">
        <v>458.27</v>
      </c>
      <c r="F24" s="102">
        <v>2516.9</v>
      </c>
      <c r="G24" s="110">
        <v>458.42</v>
      </c>
      <c r="H24" s="102">
        <v>2231.58</v>
      </c>
      <c r="I24" s="102">
        <v>2690</v>
      </c>
      <c r="J24" s="96">
        <v>1.411</v>
      </c>
      <c r="K24" s="93">
        <v>5.8351000000000006</v>
      </c>
      <c r="L24" s="116">
        <v>7.2461000000000002</v>
      </c>
    </row>
    <row r="25" spans="1:14" ht="21" x14ac:dyDescent="0.5">
      <c r="A25" s="118">
        <v>0.16</v>
      </c>
      <c r="B25" s="123">
        <v>113.3</v>
      </c>
      <c r="C25" s="91">
        <v>1.0544E-3</v>
      </c>
      <c r="D25" s="93">
        <v>1.0913999999999999</v>
      </c>
      <c r="E25" s="106">
        <v>475.21</v>
      </c>
      <c r="F25" s="102">
        <v>2521.4</v>
      </c>
      <c r="G25" s="110">
        <v>475.38</v>
      </c>
      <c r="H25" s="102">
        <v>2220.62</v>
      </c>
      <c r="I25" s="102">
        <v>2696</v>
      </c>
      <c r="J25" s="96">
        <v>1.4551000000000001</v>
      </c>
      <c r="K25" s="93">
        <v>5.7462999999999997</v>
      </c>
      <c r="L25" s="116">
        <v>7.2013999999999996</v>
      </c>
    </row>
    <row r="26" spans="1:14" ht="21" x14ac:dyDescent="0.5">
      <c r="A26" s="118">
        <v>0.18</v>
      </c>
      <c r="B26" s="123">
        <v>116.91</v>
      </c>
      <c r="C26" s="91">
        <v>1.0575999999999999E-3</v>
      </c>
      <c r="D26" s="93">
        <v>0.97746999999999995</v>
      </c>
      <c r="E26" s="106">
        <v>490.51</v>
      </c>
      <c r="F26" s="102">
        <v>2525.5</v>
      </c>
      <c r="G26" s="110">
        <v>490.7</v>
      </c>
      <c r="H26" s="102">
        <v>2210.7000000000003</v>
      </c>
      <c r="I26" s="102">
        <v>2701.4</v>
      </c>
      <c r="J26" s="96">
        <v>1.4944999999999999</v>
      </c>
      <c r="K26" s="93">
        <v>5.6676000000000002</v>
      </c>
      <c r="L26" s="116">
        <v>7.1620999999999997</v>
      </c>
      <c r="N26" s="138">
        <f xml:space="preserve"> $O$4</f>
        <v>8</v>
      </c>
    </row>
    <row r="27" spans="1:14" ht="21" x14ac:dyDescent="0.5">
      <c r="A27" s="118">
        <v>0.2</v>
      </c>
      <c r="B27" s="123">
        <v>120.21</v>
      </c>
      <c r="C27" s="91">
        <v>1.0605E-3</v>
      </c>
      <c r="D27" s="93">
        <v>0.88568000000000002</v>
      </c>
      <c r="E27" s="106">
        <v>504.49</v>
      </c>
      <c r="F27" s="102">
        <v>2529.1</v>
      </c>
      <c r="G27" s="110">
        <v>504.7</v>
      </c>
      <c r="H27" s="102">
        <v>2201.5</v>
      </c>
      <c r="I27" s="102">
        <v>2706.2</v>
      </c>
      <c r="J27" s="96">
        <v>1.5302</v>
      </c>
      <c r="K27" s="93">
        <v>5.5967000000000002</v>
      </c>
      <c r="L27" s="116">
        <v>7.1269</v>
      </c>
      <c r="N27" s="138">
        <f>O7</f>
        <v>2.3525999999999998E-2</v>
      </c>
    </row>
    <row r="28" spans="1:14" ht="21" x14ac:dyDescent="0.5">
      <c r="A28" s="118">
        <v>0.3</v>
      </c>
      <c r="B28" s="123">
        <v>133.52000000000001</v>
      </c>
      <c r="C28" s="91">
        <v>1.0732000000000001E-3</v>
      </c>
      <c r="D28" s="93">
        <v>0.60575999999999997</v>
      </c>
      <c r="E28" s="106">
        <v>561.1</v>
      </c>
      <c r="F28" s="102">
        <v>2543.1999999999998</v>
      </c>
      <c r="G28" s="110">
        <v>561.42999999999995</v>
      </c>
      <c r="H28" s="102">
        <v>2163.4700000000003</v>
      </c>
      <c r="I28" s="102">
        <v>2724.9</v>
      </c>
      <c r="J28" s="96">
        <v>1.6717</v>
      </c>
      <c r="K28" s="93">
        <v>5.3199000000000005</v>
      </c>
      <c r="L28" s="116">
        <v>6.9916</v>
      </c>
      <c r="N28" s="138">
        <f xml:space="preserve"> $O$4</f>
        <v>8</v>
      </c>
    </row>
    <row r="29" spans="1:14" ht="21" x14ac:dyDescent="0.5">
      <c r="A29" s="118">
        <v>0.4</v>
      </c>
      <c r="B29" s="123">
        <v>143.61000000000001</v>
      </c>
      <c r="C29" s="91">
        <v>1.0836000000000001E-3</v>
      </c>
      <c r="D29" s="93">
        <v>0.46238000000000001</v>
      </c>
      <c r="E29" s="106">
        <v>604.22</v>
      </c>
      <c r="F29" s="102">
        <v>2553.1</v>
      </c>
      <c r="G29" s="110">
        <v>604.65</v>
      </c>
      <c r="H29" s="102">
        <v>2133.4499999999998</v>
      </c>
      <c r="I29" s="102">
        <v>2738.1</v>
      </c>
      <c r="J29" s="96">
        <v>1.7765</v>
      </c>
      <c r="K29" s="93">
        <v>5.1189999999999998</v>
      </c>
      <c r="L29" s="101">
        <v>6.8955000000000002</v>
      </c>
      <c r="N29" s="138">
        <f>O6</f>
        <v>1.3847E-3</v>
      </c>
    </row>
    <row r="30" spans="1:14" ht="21" x14ac:dyDescent="0.5">
      <c r="A30" s="118">
        <v>0.6</v>
      </c>
      <c r="B30" s="123">
        <v>158.83000000000001</v>
      </c>
      <c r="C30" s="91">
        <v>1.1006E-3</v>
      </c>
      <c r="D30" s="93">
        <v>0.31558000000000003</v>
      </c>
      <c r="E30" s="106">
        <v>669.72</v>
      </c>
      <c r="F30" s="102">
        <v>2566.8000000000002</v>
      </c>
      <c r="G30" s="110">
        <v>670.38</v>
      </c>
      <c r="H30" s="102">
        <v>2085.7199999999998</v>
      </c>
      <c r="I30" s="102">
        <v>2756.1</v>
      </c>
      <c r="J30" s="96">
        <v>1.9308000000000001</v>
      </c>
      <c r="K30" s="93">
        <v>4.8284000000000002</v>
      </c>
      <c r="L30" s="101">
        <v>6.7591999999999999</v>
      </c>
      <c r="N30" s="138">
        <f xml:space="preserve"> $O$4</f>
        <v>8</v>
      </c>
    </row>
    <row r="31" spans="1:14" ht="21" x14ac:dyDescent="0.5">
      <c r="A31" s="118">
        <v>0.8</v>
      </c>
      <c r="B31" s="123">
        <v>170.41</v>
      </c>
      <c r="C31" s="91">
        <v>1.1148E-3</v>
      </c>
      <c r="D31" s="93">
        <v>0.24034</v>
      </c>
      <c r="E31" s="106">
        <v>719.97</v>
      </c>
      <c r="F31" s="102">
        <v>2576</v>
      </c>
      <c r="G31" s="110">
        <v>720.86</v>
      </c>
      <c r="H31" s="102">
        <v>2047.44</v>
      </c>
      <c r="I31" s="102">
        <v>2768.3</v>
      </c>
      <c r="J31" s="96">
        <v>2.0457000000000001</v>
      </c>
      <c r="K31" s="93">
        <v>4.6158999999999999</v>
      </c>
      <c r="L31" s="116">
        <v>6.6616</v>
      </c>
      <c r="N31" s="138">
        <f>O9</f>
        <v>1.1348285E-2</v>
      </c>
    </row>
    <row r="32" spans="1:14" ht="21" x14ac:dyDescent="0.5">
      <c r="A32" s="118">
        <v>1</v>
      </c>
      <c r="B32" s="123">
        <v>179.88</v>
      </c>
      <c r="C32" s="91">
        <v>1.1272000000000001E-3</v>
      </c>
      <c r="D32" s="93">
        <v>0.19436</v>
      </c>
      <c r="E32" s="106">
        <v>761.39</v>
      </c>
      <c r="F32" s="102">
        <v>2582.6999999999998</v>
      </c>
      <c r="G32" s="110">
        <v>762.52</v>
      </c>
      <c r="H32" s="102">
        <v>2014.58</v>
      </c>
      <c r="I32" s="102">
        <v>2777.1</v>
      </c>
      <c r="J32" s="96">
        <v>2.1381000000000001</v>
      </c>
      <c r="K32" s="93">
        <v>4.4468999999999994</v>
      </c>
      <c r="L32" s="116">
        <v>6.585</v>
      </c>
    </row>
    <row r="33" spans="1:12" ht="21" x14ac:dyDescent="0.5">
      <c r="A33" s="118">
        <v>1.2</v>
      </c>
      <c r="B33" s="123">
        <v>187.96</v>
      </c>
      <c r="C33" s="91">
        <v>1.1385E-3</v>
      </c>
      <c r="D33" s="93">
        <v>0.16325999999999999</v>
      </c>
      <c r="E33" s="106">
        <v>796.96</v>
      </c>
      <c r="F33" s="102">
        <v>2587.8000000000002</v>
      </c>
      <c r="G33" s="110">
        <v>798.33</v>
      </c>
      <c r="H33" s="102">
        <v>1985.37</v>
      </c>
      <c r="I33" s="102">
        <v>2783.7</v>
      </c>
      <c r="J33" s="96">
        <v>2.2159</v>
      </c>
      <c r="K33" s="93">
        <v>4.3057999999999996</v>
      </c>
      <c r="L33" s="116">
        <v>6.5217000000000001</v>
      </c>
    </row>
    <row r="34" spans="1:12" ht="21" x14ac:dyDescent="0.5">
      <c r="A34" s="118">
        <v>1.4</v>
      </c>
      <c r="B34" s="123">
        <v>195.04</v>
      </c>
      <c r="C34" s="91">
        <v>1.1489E-3</v>
      </c>
      <c r="D34" s="92">
        <v>0.14077999999999999</v>
      </c>
      <c r="E34" s="106">
        <v>828.36</v>
      </c>
      <c r="F34" s="102">
        <v>2591.8000000000002</v>
      </c>
      <c r="G34" s="110">
        <v>829.97</v>
      </c>
      <c r="H34" s="102">
        <v>1958.8300000000002</v>
      </c>
      <c r="I34" s="102">
        <v>2788.8</v>
      </c>
      <c r="J34" s="96">
        <v>2.2835000000000001</v>
      </c>
      <c r="K34" s="93">
        <v>4.1840000000000002</v>
      </c>
      <c r="L34" s="101">
        <v>6.4675000000000002</v>
      </c>
    </row>
    <row r="35" spans="1:12" ht="21" x14ac:dyDescent="0.5">
      <c r="A35" s="118">
        <v>1.6</v>
      </c>
      <c r="B35" s="123">
        <v>201.37</v>
      </c>
      <c r="C35" s="91">
        <v>1.1586999999999999E-3</v>
      </c>
      <c r="D35" s="92">
        <v>0.12374</v>
      </c>
      <c r="E35" s="106">
        <v>856.6</v>
      </c>
      <c r="F35" s="102">
        <v>2594.8000000000002</v>
      </c>
      <c r="G35" s="110">
        <v>858.46</v>
      </c>
      <c r="H35" s="102">
        <v>1934.3400000000001</v>
      </c>
      <c r="I35" s="102">
        <v>2792.8</v>
      </c>
      <c r="J35" s="96">
        <v>2.3435000000000001</v>
      </c>
      <c r="K35" s="93">
        <v>4.0763999999999996</v>
      </c>
      <c r="L35" s="116">
        <v>6.4199000000000002</v>
      </c>
    </row>
    <row r="36" spans="1:12" ht="21" x14ac:dyDescent="0.5">
      <c r="A36" s="118">
        <v>1.8</v>
      </c>
      <c r="B36" s="123">
        <v>207.11</v>
      </c>
      <c r="C36" s="91">
        <v>1.1678999999999999E-3</v>
      </c>
      <c r="D36" s="92">
        <v>0.11037</v>
      </c>
      <c r="E36" s="106">
        <v>882.37</v>
      </c>
      <c r="F36" s="102">
        <v>2597.1999999999998</v>
      </c>
      <c r="G36" s="110">
        <v>884.47</v>
      </c>
      <c r="H36" s="102">
        <v>1911.43</v>
      </c>
      <c r="I36" s="102">
        <v>2795.9</v>
      </c>
      <c r="J36" s="95">
        <v>2.3975</v>
      </c>
      <c r="K36" s="93">
        <v>3.9800000000000004</v>
      </c>
      <c r="L36" s="116">
        <v>6.3775000000000004</v>
      </c>
    </row>
    <row r="37" spans="1:12" ht="21" x14ac:dyDescent="0.5">
      <c r="A37" s="118">
        <v>2</v>
      </c>
      <c r="B37" s="123">
        <v>212.38</v>
      </c>
      <c r="C37" s="91">
        <v>1.1766999999999999E-3</v>
      </c>
      <c r="D37" s="92">
        <v>9.9585000000000007E-2</v>
      </c>
      <c r="E37" s="106">
        <v>906.14</v>
      </c>
      <c r="F37" s="102">
        <v>2599.1</v>
      </c>
      <c r="G37" s="110">
        <v>908.5</v>
      </c>
      <c r="H37" s="102">
        <v>1889.8000000000002</v>
      </c>
      <c r="I37" s="102">
        <v>2798.3</v>
      </c>
      <c r="J37" s="96">
        <v>2.4468000000000001</v>
      </c>
      <c r="K37" s="93">
        <v>3.8922000000000003</v>
      </c>
      <c r="L37" s="116">
        <v>6.3390000000000004</v>
      </c>
    </row>
    <row r="38" spans="1:12" ht="21" x14ac:dyDescent="0.5">
      <c r="A38" s="118">
        <v>3</v>
      </c>
      <c r="B38" s="123">
        <v>233.85</v>
      </c>
      <c r="C38" s="91">
        <v>1.2167E-3</v>
      </c>
      <c r="D38" s="92">
        <v>6.6664000000000001E-2</v>
      </c>
      <c r="E38" s="106">
        <v>1004.7</v>
      </c>
      <c r="F38" s="102">
        <v>2603.1999999999998</v>
      </c>
      <c r="G38" s="110">
        <v>1008.3</v>
      </c>
      <c r="H38" s="102">
        <v>1794.8999999999999</v>
      </c>
      <c r="I38" s="102">
        <v>2803.2</v>
      </c>
      <c r="J38" s="96">
        <v>2.6455000000000002</v>
      </c>
      <c r="K38" s="93">
        <v>3.5400999999999998</v>
      </c>
      <c r="L38" s="116">
        <v>6.1856</v>
      </c>
    </row>
    <row r="39" spans="1:12" ht="21" x14ac:dyDescent="0.5">
      <c r="A39" s="118">
        <v>4</v>
      </c>
      <c r="B39" s="123">
        <v>250.35</v>
      </c>
      <c r="C39" s="91">
        <v>1.2526E-3</v>
      </c>
      <c r="D39" s="92">
        <v>4.9776000000000001E-2</v>
      </c>
      <c r="E39" s="106">
        <v>1082.5</v>
      </c>
      <c r="F39" s="102">
        <v>2601.6999999999998</v>
      </c>
      <c r="G39" s="110">
        <v>1087.5</v>
      </c>
      <c r="H39" s="102">
        <v>1713.3000000000002</v>
      </c>
      <c r="I39" s="102">
        <v>2800.8</v>
      </c>
      <c r="J39" s="96">
        <v>2.7968000000000002</v>
      </c>
      <c r="K39" s="93">
        <v>3.2728000000000002</v>
      </c>
      <c r="L39" s="116">
        <v>6.0696000000000003</v>
      </c>
    </row>
    <row r="40" spans="1:12" ht="21" x14ac:dyDescent="0.5">
      <c r="A40" s="118">
        <v>6</v>
      </c>
      <c r="B40" s="123">
        <v>275.58</v>
      </c>
      <c r="C40" s="91">
        <v>1.3193E-3</v>
      </c>
      <c r="D40" s="92">
        <v>3.2447999999999998E-2</v>
      </c>
      <c r="E40" s="106">
        <v>1206</v>
      </c>
      <c r="F40" s="102">
        <v>2589.9</v>
      </c>
      <c r="G40" s="110">
        <v>1213.9000000000001</v>
      </c>
      <c r="H40" s="102">
        <v>1570.6999999999998</v>
      </c>
      <c r="I40" s="102">
        <v>2784.6</v>
      </c>
      <c r="J40" s="96">
        <v>3.0278</v>
      </c>
      <c r="K40" s="93">
        <v>2.8623000000000003</v>
      </c>
      <c r="L40" s="116">
        <v>5.8901000000000003</v>
      </c>
    </row>
    <row r="41" spans="1:12" ht="21" x14ac:dyDescent="0.5">
      <c r="A41" s="118">
        <v>8</v>
      </c>
      <c r="B41" s="123">
        <v>295.01</v>
      </c>
      <c r="C41" s="91">
        <v>1.3847E-3</v>
      </c>
      <c r="D41" s="92">
        <v>2.3525999999999998E-2</v>
      </c>
      <c r="E41" s="106">
        <v>1306.2</v>
      </c>
      <c r="F41" s="102">
        <v>2570.5</v>
      </c>
      <c r="G41" s="110">
        <v>1317.3</v>
      </c>
      <c r="H41" s="102">
        <v>1441.3999999999999</v>
      </c>
      <c r="I41" s="102">
        <v>2758.7</v>
      </c>
      <c r="J41" s="96">
        <v>3.2081</v>
      </c>
      <c r="K41" s="93">
        <v>2.5369000000000002</v>
      </c>
      <c r="L41" s="116">
        <v>5.7450000000000001</v>
      </c>
    </row>
    <row r="42" spans="1:12" ht="21" x14ac:dyDescent="0.5">
      <c r="A42" s="118">
        <v>10</v>
      </c>
      <c r="B42" s="123">
        <v>311</v>
      </c>
      <c r="C42" s="91">
        <v>1.4526000000000001E-3</v>
      </c>
      <c r="D42" s="92">
        <v>1.8030000000000001E-2</v>
      </c>
      <c r="E42" s="106">
        <v>1393.5</v>
      </c>
      <c r="F42" s="102">
        <v>2545.1999999999998</v>
      </c>
      <c r="G42" s="110">
        <v>1408.1</v>
      </c>
      <c r="H42" s="102">
        <v>1317.4</v>
      </c>
      <c r="I42" s="102">
        <v>2725.5</v>
      </c>
      <c r="J42" s="96">
        <v>3.3605999999999998</v>
      </c>
      <c r="K42" s="93">
        <v>2.2553999999999998</v>
      </c>
      <c r="L42" s="116">
        <v>5.6159999999999997</v>
      </c>
    </row>
    <row r="43" spans="1:12" ht="21" x14ac:dyDescent="0.5">
      <c r="A43" s="118">
        <v>12</v>
      </c>
      <c r="B43" s="123">
        <v>324.68</v>
      </c>
      <c r="C43" s="91">
        <v>1.5263E-3</v>
      </c>
      <c r="D43" s="92">
        <v>1.4264000000000001E-2</v>
      </c>
      <c r="E43" s="106">
        <v>1473.1</v>
      </c>
      <c r="F43" s="102">
        <v>2514.3000000000002</v>
      </c>
      <c r="G43" s="110">
        <v>1491.5</v>
      </c>
      <c r="H43" s="102">
        <v>1193.9000000000001</v>
      </c>
      <c r="I43" s="102">
        <v>2685.4</v>
      </c>
      <c r="J43" s="95">
        <v>3.4967000000000001</v>
      </c>
      <c r="K43" s="93">
        <v>1.9971999999999999</v>
      </c>
      <c r="L43" s="116">
        <v>5.4939</v>
      </c>
    </row>
    <row r="44" spans="1:12" ht="21" x14ac:dyDescent="0.5">
      <c r="A44" s="118">
        <v>14</v>
      </c>
      <c r="B44" s="124">
        <v>336.67</v>
      </c>
      <c r="C44" s="91">
        <v>1.6096999999999999E-3</v>
      </c>
      <c r="D44" s="92">
        <v>1.1485E-2</v>
      </c>
      <c r="E44" s="106">
        <v>1548.4</v>
      </c>
      <c r="F44" s="102">
        <v>2477.1</v>
      </c>
      <c r="G44" s="110">
        <v>1571</v>
      </c>
      <c r="H44" s="102">
        <v>1066.9000000000001</v>
      </c>
      <c r="I44" s="102">
        <v>2637.9</v>
      </c>
      <c r="J44" s="96">
        <v>3.6232000000000002</v>
      </c>
      <c r="K44" s="93">
        <v>1.7494999999999998</v>
      </c>
      <c r="L44" s="116">
        <v>5.3727</v>
      </c>
    </row>
    <row r="45" spans="1:12" ht="21" x14ac:dyDescent="0.5">
      <c r="A45" s="118">
        <v>16</v>
      </c>
      <c r="B45" s="124">
        <v>347.35</v>
      </c>
      <c r="C45" s="91">
        <v>1.7094E-3</v>
      </c>
      <c r="D45" s="92">
        <v>9.3088000000000008E-3</v>
      </c>
      <c r="E45" s="106">
        <v>1622.3</v>
      </c>
      <c r="F45" s="102">
        <v>2431.8000000000002</v>
      </c>
      <c r="G45" s="110">
        <v>1649.7</v>
      </c>
      <c r="H45" s="102">
        <v>931.10000000000014</v>
      </c>
      <c r="I45" s="102">
        <v>2580.8000000000002</v>
      </c>
      <c r="J45" s="96">
        <v>3.7456999999999998</v>
      </c>
      <c r="K45" s="93">
        <v>1.5005999999999999</v>
      </c>
      <c r="L45" s="116">
        <v>5.2462999999999997</v>
      </c>
    </row>
    <row r="46" spans="1:12" ht="21" x14ac:dyDescent="0.5">
      <c r="A46" s="118">
        <v>18</v>
      </c>
      <c r="B46" s="124">
        <v>356.99</v>
      </c>
      <c r="C46" s="91">
        <v>1.8397999999999999E-3</v>
      </c>
      <c r="D46" s="92">
        <v>7.5017E-3</v>
      </c>
      <c r="E46" s="106">
        <v>1699</v>
      </c>
      <c r="F46" s="102">
        <v>2374.8000000000002</v>
      </c>
      <c r="G46" s="110">
        <v>1732.1</v>
      </c>
      <c r="H46" s="102">
        <v>777.70000000000027</v>
      </c>
      <c r="I46" s="102">
        <v>2509.8000000000002</v>
      </c>
      <c r="J46" s="96">
        <v>3.8717999999999999</v>
      </c>
      <c r="K46" s="93">
        <v>1.2342999999999997</v>
      </c>
      <c r="L46" s="116">
        <v>5.1060999999999996</v>
      </c>
    </row>
    <row r="47" spans="1:12" ht="21" x14ac:dyDescent="0.5">
      <c r="A47" s="118">
        <v>20</v>
      </c>
      <c r="B47" s="124">
        <v>365.75</v>
      </c>
      <c r="C47" s="91">
        <v>2.0400000000000001E-3</v>
      </c>
      <c r="D47" s="91">
        <v>5.8652000000000001E-3</v>
      </c>
      <c r="E47" s="106">
        <v>1786.4</v>
      </c>
      <c r="F47" s="102">
        <v>2295</v>
      </c>
      <c r="G47" s="110">
        <v>1827.2</v>
      </c>
      <c r="H47" s="102">
        <v>585.10000000000014</v>
      </c>
      <c r="I47" s="102">
        <v>2412.3000000000002</v>
      </c>
      <c r="J47" s="96">
        <v>4.0156000000000001</v>
      </c>
      <c r="K47" s="93">
        <v>0.91579999999999995</v>
      </c>
      <c r="L47" s="101">
        <v>4.9314</v>
      </c>
    </row>
    <row r="48" spans="1:12" ht="21" x14ac:dyDescent="0.5">
      <c r="A48" s="90">
        <v>22.064</v>
      </c>
      <c r="B48" s="85">
        <v>373.95</v>
      </c>
      <c r="C48" s="97">
        <v>3.1056E-3</v>
      </c>
      <c r="D48" s="97">
        <v>3.1056E-3</v>
      </c>
      <c r="E48" s="107">
        <v>2015.7</v>
      </c>
      <c r="F48" s="103">
        <v>2015.7</v>
      </c>
      <c r="G48" s="111">
        <v>2084.3000000000002</v>
      </c>
      <c r="H48" s="103">
        <v>0</v>
      </c>
      <c r="I48" s="103">
        <v>2084.3000000000002</v>
      </c>
      <c r="J48" s="132">
        <v>4.407</v>
      </c>
      <c r="K48" s="133">
        <v>0</v>
      </c>
      <c r="L48" s="134">
        <v>4.407</v>
      </c>
    </row>
    <row r="49" spans="1:12" ht="21" x14ac:dyDescent="0.5">
      <c r="A49" s="128"/>
      <c r="B49" s="129"/>
      <c r="C49" s="125"/>
      <c r="D49" s="125"/>
      <c r="E49" s="126"/>
      <c r="F49" s="126"/>
      <c r="G49" s="130"/>
      <c r="H49" s="126"/>
      <c r="I49" s="126"/>
      <c r="J49" s="129"/>
      <c r="K49" s="127"/>
      <c r="L49" s="129"/>
    </row>
    <row r="50" spans="1:12" ht="21" x14ac:dyDescent="0.5">
      <c r="A50" s="128"/>
      <c r="B50" s="129"/>
      <c r="C50" s="125"/>
      <c r="D50" s="125"/>
      <c r="E50" s="126"/>
      <c r="F50" s="126"/>
      <c r="G50" s="130"/>
      <c r="H50" s="126"/>
      <c r="I50" s="126"/>
      <c r="J50" s="127"/>
      <c r="K50" s="126"/>
      <c r="L50" s="127"/>
    </row>
    <row r="51" spans="1:12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</row>
    <row r="52" spans="1:12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</row>
    <row r="53" spans="1:12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</row>
    <row r="54" spans="1:12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</row>
  </sheetData>
  <mergeCells count="3">
    <mergeCell ref="M1:V1"/>
    <mergeCell ref="Q3:R3"/>
    <mergeCell ref="Q4:R4"/>
  </mergeCells>
  <hyperlinks>
    <hyperlink ref="Q4" r:id="rId1" display="https://www.ohio.edu/mechanical/thermo/property_tables/H2O/" xr:uid="{592F9D92-00FF-43A6-A306-3A25802B4453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6FD0-0FED-41D7-9400-C6A0A6BD043B}">
  <dimension ref="A1:O179"/>
  <sheetViews>
    <sheetView workbookViewId="0">
      <selection activeCell="D143" sqref="D143"/>
    </sheetView>
  </sheetViews>
  <sheetFormatPr defaultRowHeight="14.5" x14ac:dyDescent="0.35"/>
  <cols>
    <col min="2" max="2" width="9.90625" style="60" bestFit="1" customWidth="1"/>
    <col min="7" max="7" width="9.90625" style="60" bestFit="1" customWidth="1"/>
    <col min="11" max="11" width="8.81640625" customWidth="1"/>
    <col min="12" max="12" width="8.7265625" style="60"/>
  </cols>
  <sheetData>
    <row r="1" spans="1:15" x14ac:dyDescent="0.35">
      <c r="A1" s="34" t="s">
        <v>258</v>
      </c>
      <c r="B1" s="36"/>
      <c r="C1" s="34"/>
      <c r="D1" s="34"/>
      <c r="E1" s="34"/>
      <c r="F1" s="34"/>
      <c r="G1" s="36"/>
      <c r="H1" s="34"/>
      <c r="I1" s="34"/>
      <c r="J1" s="34"/>
      <c r="K1" s="34"/>
      <c r="L1" s="36"/>
      <c r="M1" s="34"/>
      <c r="N1" s="34"/>
      <c r="O1" s="34"/>
    </row>
    <row r="2" spans="1:15" x14ac:dyDescent="0.35">
      <c r="A2" s="37"/>
      <c r="B2" s="64" t="s">
        <v>259</v>
      </c>
      <c r="C2" s="53"/>
      <c r="D2" s="51"/>
      <c r="E2" s="52"/>
      <c r="F2" s="37"/>
      <c r="H2" s="50" t="s">
        <v>260</v>
      </c>
      <c r="I2" s="51"/>
      <c r="J2" s="52"/>
      <c r="K2" s="34"/>
      <c r="M2" s="50" t="s">
        <v>261</v>
      </c>
      <c r="N2" s="51"/>
      <c r="O2" s="52"/>
    </row>
    <row r="3" spans="1:15" x14ac:dyDescent="0.35">
      <c r="A3" s="47" t="s">
        <v>251</v>
      </c>
      <c r="B3" s="61" t="s">
        <v>262</v>
      </c>
      <c r="C3" s="39" t="s">
        <v>263</v>
      </c>
      <c r="D3" s="39" t="s">
        <v>264</v>
      </c>
      <c r="E3" s="40" t="s">
        <v>265</v>
      </c>
      <c r="F3" s="34"/>
      <c r="G3" s="61" t="s">
        <v>262</v>
      </c>
      <c r="H3" s="39" t="s">
        <v>263</v>
      </c>
      <c r="I3" s="39" t="s">
        <v>264</v>
      </c>
      <c r="J3" s="40" t="s">
        <v>265</v>
      </c>
      <c r="K3" s="34"/>
      <c r="L3" s="61" t="s">
        <v>262</v>
      </c>
      <c r="M3" s="39" t="s">
        <v>263</v>
      </c>
      <c r="N3" s="39" t="s">
        <v>264</v>
      </c>
      <c r="O3" s="40" t="s">
        <v>265</v>
      </c>
    </row>
    <row r="4" spans="1:15" x14ac:dyDescent="0.35">
      <c r="A4" s="48" t="s">
        <v>252</v>
      </c>
      <c r="B4" s="62" t="s">
        <v>266</v>
      </c>
      <c r="C4" s="42" t="s">
        <v>267</v>
      </c>
      <c r="D4" s="42" t="s">
        <v>268</v>
      </c>
      <c r="E4" s="43" t="s">
        <v>269</v>
      </c>
      <c r="F4" s="34"/>
      <c r="G4" s="62" t="s">
        <v>266</v>
      </c>
      <c r="H4" s="42" t="s">
        <v>267</v>
      </c>
      <c r="I4" s="42" t="s">
        <v>268</v>
      </c>
      <c r="J4" s="43" t="s">
        <v>269</v>
      </c>
      <c r="K4" s="34"/>
      <c r="L4" s="62" t="s">
        <v>266</v>
      </c>
      <c r="M4" s="42" t="s">
        <v>267</v>
      </c>
      <c r="N4" s="42" t="s">
        <v>268</v>
      </c>
      <c r="O4" s="43" t="s">
        <v>269</v>
      </c>
    </row>
    <row r="5" spans="1:15" x14ac:dyDescent="0.35">
      <c r="A5" s="47" t="s">
        <v>270</v>
      </c>
      <c r="B5" s="63">
        <v>14.67</v>
      </c>
      <c r="C5" s="45">
        <v>2437.1999999999998</v>
      </c>
      <c r="D5" s="45">
        <v>2583.9</v>
      </c>
      <c r="E5" s="46">
        <v>8.1487999999999996</v>
      </c>
      <c r="F5" s="34"/>
      <c r="G5" s="63">
        <v>3.24</v>
      </c>
      <c r="H5" s="45">
        <v>2483.1999999999998</v>
      </c>
      <c r="I5" s="45">
        <v>2645.2</v>
      </c>
      <c r="J5" s="46">
        <v>7.593</v>
      </c>
      <c r="K5" s="34"/>
      <c r="L5" s="63">
        <v>1.6939</v>
      </c>
      <c r="M5" s="45">
        <v>2505.6</v>
      </c>
      <c r="N5" s="45">
        <v>2674.9</v>
      </c>
      <c r="O5" s="46">
        <v>7.3587999999999996</v>
      </c>
    </row>
    <row r="6" spans="1:15" x14ac:dyDescent="0.35">
      <c r="A6" s="49">
        <v>50</v>
      </c>
      <c r="B6" s="63">
        <v>14.867000000000001</v>
      </c>
      <c r="C6" s="45">
        <v>2443.3000000000002</v>
      </c>
      <c r="D6" s="45">
        <v>2592</v>
      </c>
      <c r="E6" s="46">
        <v>8.1740999999999993</v>
      </c>
      <c r="F6" s="34"/>
      <c r="G6" s="65"/>
      <c r="H6" s="66"/>
      <c r="I6" s="66"/>
      <c r="J6" s="67"/>
      <c r="K6" s="34"/>
      <c r="L6" s="65"/>
      <c r="M6" s="66"/>
      <c r="N6" s="66"/>
      <c r="O6" s="67"/>
    </row>
    <row r="7" spans="1:15" x14ac:dyDescent="0.35">
      <c r="A7" s="49">
        <v>100</v>
      </c>
      <c r="B7" s="63">
        <v>17.196000000000002</v>
      </c>
      <c r="C7" s="45">
        <v>2515.5</v>
      </c>
      <c r="D7" s="45">
        <v>2687.5</v>
      </c>
      <c r="E7" s="46">
        <v>8.4489000000000001</v>
      </c>
      <c r="F7" s="34"/>
      <c r="G7" s="63">
        <v>3.4186999999999999</v>
      </c>
      <c r="H7" s="45">
        <v>2511.5</v>
      </c>
      <c r="I7" s="45">
        <v>2682.4</v>
      </c>
      <c r="J7" s="46">
        <v>7.6952999999999996</v>
      </c>
      <c r="K7" s="34"/>
      <c r="L7" s="63">
        <v>1.6959</v>
      </c>
      <c r="M7" s="45">
        <v>2506.1999999999998</v>
      </c>
      <c r="N7" s="45">
        <v>2675.8</v>
      </c>
      <c r="O7" s="46">
        <v>7.3609999999999998</v>
      </c>
    </row>
    <row r="8" spans="1:15" x14ac:dyDescent="0.35">
      <c r="A8" s="49">
        <v>150</v>
      </c>
      <c r="B8" s="63">
        <v>19.513000000000002</v>
      </c>
      <c r="C8" s="45">
        <v>2587.9</v>
      </c>
      <c r="D8" s="45">
        <v>2783</v>
      </c>
      <c r="E8" s="46">
        <v>8.6891999999999996</v>
      </c>
      <c r="F8" s="34"/>
      <c r="G8" s="63">
        <v>3.8896999999999999</v>
      </c>
      <c r="H8" s="45">
        <v>2585.6999999999998</v>
      </c>
      <c r="I8" s="45">
        <v>2780.2</v>
      </c>
      <c r="J8" s="46">
        <v>7.9413</v>
      </c>
      <c r="K8" s="34"/>
      <c r="L8" s="63">
        <v>1.9367000000000001</v>
      </c>
      <c r="M8" s="45">
        <v>2582.9</v>
      </c>
      <c r="N8" s="45">
        <v>2776.6</v>
      </c>
      <c r="O8" s="46">
        <v>7.6147999999999998</v>
      </c>
    </row>
    <row r="9" spans="1:15" x14ac:dyDescent="0.35">
      <c r="A9" s="49">
        <v>200</v>
      </c>
      <c r="B9" s="63">
        <v>21.826000000000001</v>
      </c>
      <c r="C9" s="45">
        <v>2661.3</v>
      </c>
      <c r="D9" s="45">
        <v>2879.6</v>
      </c>
      <c r="E9" s="46">
        <v>8.9048999999999996</v>
      </c>
      <c r="F9" s="34"/>
      <c r="G9" s="63">
        <v>4.3562000000000003</v>
      </c>
      <c r="H9" s="45">
        <v>2660</v>
      </c>
      <c r="I9" s="45">
        <v>2877.8</v>
      </c>
      <c r="J9" s="46">
        <v>8.1592000000000002</v>
      </c>
      <c r="K9" s="34"/>
      <c r="L9" s="63">
        <v>2.1724000000000001</v>
      </c>
      <c r="M9" s="45">
        <v>2658.2</v>
      </c>
      <c r="N9" s="45">
        <v>2875.5</v>
      </c>
      <c r="O9" s="46">
        <v>7.8356000000000003</v>
      </c>
    </row>
    <row r="10" spans="1:15" x14ac:dyDescent="0.35">
      <c r="A10" s="49">
        <v>250</v>
      </c>
      <c r="B10" s="63">
        <v>24.135999999999999</v>
      </c>
      <c r="C10" s="45">
        <v>2736.1</v>
      </c>
      <c r="D10" s="45">
        <v>2977.4</v>
      </c>
      <c r="E10" s="46">
        <v>9.1014999999999997</v>
      </c>
      <c r="F10" s="34"/>
      <c r="G10" s="63">
        <v>4.8205999999999998</v>
      </c>
      <c r="H10" s="45">
        <v>2735.1</v>
      </c>
      <c r="I10" s="45">
        <v>2976.1</v>
      </c>
      <c r="J10" s="46">
        <v>8.3567999999999998</v>
      </c>
      <c r="K10" s="34"/>
      <c r="L10" s="63">
        <v>2.4062000000000001</v>
      </c>
      <c r="M10" s="45">
        <v>2733.9</v>
      </c>
      <c r="N10" s="45">
        <v>2974.5</v>
      </c>
      <c r="O10" s="46">
        <v>8.0345999999999993</v>
      </c>
    </row>
    <row r="11" spans="1:15" x14ac:dyDescent="0.35">
      <c r="A11" s="49">
        <v>300</v>
      </c>
      <c r="B11" s="63">
        <v>26.446000000000002</v>
      </c>
      <c r="C11" s="45">
        <v>2812.3</v>
      </c>
      <c r="D11" s="45">
        <v>3076.7</v>
      </c>
      <c r="E11" s="46">
        <v>9.2827000000000002</v>
      </c>
      <c r="F11" s="34"/>
      <c r="G11" s="63">
        <v>5.2839999999999998</v>
      </c>
      <c r="H11" s="45">
        <v>2811.6</v>
      </c>
      <c r="I11" s="45">
        <v>3075.8</v>
      </c>
      <c r="J11" s="46">
        <v>8.5386000000000006</v>
      </c>
      <c r="K11" s="34"/>
      <c r="L11" s="63">
        <v>2.6387999999999998</v>
      </c>
      <c r="M11" s="45">
        <v>2810.6</v>
      </c>
      <c r="N11" s="45">
        <v>3074.5</v>
      </c>
      <c r="O11" s="46">
        <v>8.2172000000000001</v>
      </c>
    </row>
    <row r="12" spans="1:15" x14ac:dyDescent="0.35">
      <c r="A12" s="49">
        <v>350</v>
      </c>
      <c r="B12" s="63">
        <v>28.754999999999999</v>
      </c>
      <c r="C12" s="45">
        <v>2890</v>
      </c>
      <c r="D12" s="45">
        <v>3177.5</v>
      </c>
      <c r="E12" s="46">
        <v>9.4512999999999998</v>
      </c>
      <c r="F12" s="34"/>
      <c r="G12" s="63">
        <v>5.7469000000000001</v>
      </c>
      <c r="H12" s="45">
        <v>2889.4</v>
      </c>
      <c r="I12" s="45">
        <v>3176.8</v>
      </c>
      <c r="J12" s="46">
        <v>8.7075999999999993</v>
      </c>
      <c r="K12" s="34"/>
      <c r="L12" s="63">
        <v>2.871</v>
      </c>
      <c r="M12" s="45">
        <v>2888.7</v>
      </c>
      <c r="N12" s="45">
        <v>3175.8</v>
      </c>
      <c r="O12" s="46">
        <v>8.3865999999999996</v>
      </c>
    </row>
    <row r="13" spans="1:15" x14ac:dyDescent="0.35">
      <c r="A13" s="49">
        <v>400</v>
      </c>
      <c r="B13" s="63">
        <v>31.062999999999999</v>
      </c>
      <c r="C13" s="45">
        <v>2969.3</v>
      </c>
      <c r="D13" s="45">
        <v>3279.9</v>
      </c>
      <c r="E13" s="46">
        <v>9.6094000000000008</v>
      </c>
      <c r="F13" s="34"/>
      <c r="G13" s="63">
        <v>6.2093999999999996</v>
      </c>
      <c r="H13" s="45">
        <v>2968.9</v>
      </c>
      <c r="I13" s="45">
        <v>3279.3</v>
      </c>
      <c r="J13" s="46">
        <v>8.8658999999999999</v>
      </c>
      <c r="K13" s="34"/>
      <c r="L13" s="63">
        <v>3.1027</v>
      </c>
      <c r="M13" s="45">
        <v>2968.3</v>
      </c>
      <c r="N13" s="45">
        <v>3278.6</v>
      </c>
      <c r="O13" s="46">
        <v>8.5451999999999995</v>
      </c>
    </row>
    <row r="14" spans="1:15" x14ac:dyDescent="0.35">
      <c r="A14" s="49">
        <v>450</v>
      </c>
      <c r="B14" s="63">
        <v>33.371000000000002</v>
      </c>
      <c r="C14" s="45">
        <v>3050.3</v>
      </c>
      <c r="D14" s="45">
        <v>3384</v>
      </c>
      <c r="E14" s="46">
        <v>9.7584</v>
      </c>
      <c r="F14" s="34"/>
      <c r="G14" s="63">
        <v>6.6717000000000004</v>
      </c>
      <c r="H14" s="45">
        <v>3049.9</v>
      </c>
      <c r="I14" s="45">
        <v>3383.5</v>
      </c>
      <c r="J14" s="46">
        <v>9.0151000000000003</v>
      </c>
      <c r="K14" s="34"/>
      <c r="L14" s="63">
        <v>3.3342000000000001</v>
      </c>
      <c r="M14" s="45">
        <v>3049.4</v>
      </c>
      <c r="N14" s="45">
        <v>3382.8</v>
      </c>
      <c r="O14" s="46">
        <v>8.6945999999999994</v>
      </c>
    </row>
    <row r="15" spans="1:15" x14ac:dyDescent="0.35">
      <c r="A15" s="49">
        <v>500</v>
      </c>
      <c r="B15" s="63">
        <v>35.68</v>
      </c>
      <c r="C15" s="45">
        <v>3132.9</v>
      </c>
      <c r="D15" s="45">
        <v>3489.7</v>
      </c>
      <c r="E15" s="46">
        <v>9.8998000000000008</v>
      </c>
      <c r="F15" s="34"/>
      <c r="G15" s="63">
        <v>7.1337999999999999</v>
      </c>
      <c r="H15" s="45">
        <v>3132.6</v>
      </c>
      <c r="I15" s="45">
        <v>3489.3</v>
      </c>
      <c r="J15" s="46">
        <v>9.1565999999999992</v>
      </c>
      <c r="K15" s="34"/>
      <c r="L15" s="63">
        <v>3.5655000000000001</v>
      </c>
      <c r="M15" s="45">
        <v>3132.2</v>
      </c>
      <c r="N15" s="45">
        <v>3488.7</v>
      </c>
      <c r="O15" s="46">
        <v>8.8361000000000001</v>
      </c>
    </row>
    <row r="16" spans="1:15" x14ac:dyDescent="0.35">
      <c r="A16" s="49">
        <v>600</v>
      </c>
      <c r="B16" s="63">
        <v>40.295999999999999</v>
      </c>
      <c r="C16" s="45">
        <v>3303.3</v>
      </c>
      <c r="D16" s="45">
        <v>3706.3</v>
      </c>
      <c r="E16" s="46">
        <v>10.163</v>
      </c>
      <c r="F16" s="34"/>
      <c r="G16" s="63">
        <v>8.0576000000000008</v>
      </c>
      <c r="H16" s="45">
        <v>3303.1</v>
      </c>
      <c r="I16" s="45">
        <v>3706</v>
      </c>
      <c r="J16" s="46">
        <v>9.4200999999999997</v>
      </c>
      <c r="K16" s="34"/>
      <c r="L16" s="63">
        <v>4.0278999999999998</v>
      </c>
      <c r="M16" s="45">
        <v>3302.8</v>
      </c>
      <c r="N16" s="45">
        <v>3705.6</v>
      </c>
      <c r="O16" s="46">
        <v>9.0998000000000001</v>
      </c>
    </row>
    <row r="17" spans="1:15" x14ac:dyDescent="0.35">
      <c r="A17" s="49">
        <v>700</v>
      </c>
      <c r="B17" s="63">
        <v>44.911000000000001</v>
      </c>
      <c r="C17" s="45">
        <v>3480.8</v>
      </c>
      <c r="D17" s="45">
        <v>3929.9</v>
      </c>
      <c r="E17" s="46">
        <v>10.406000000000001</v>
      </c>
      <c r="F17" s="34"/>
      <c r="G17" s="63">
        <v>8.9811999999999994</v>
      </c>
      <c r="H17" s="45">
        <v>3480.6</v>
      </c>
      <c r="I17" s="45">
        <v>3929.7</v>
      </c>
      <c r="J17" s="46">
        <v>9.6624999999999996</v>
      </c>
      <c r="K17" s="34"/>
      <c r="L17" s="63">
        <v>4.49</v>
      </c>
      <c r="M17" s="45">
        <v>3480.4</v>
      </c>
      <c r="N17" s="45">
        <v>3929.4</v>
      </c>
      <c r="O17" s="46">
        <v>9.3423999999999996</v>
      </c>
    </row>
    <row r="18" spans="1:15" x14ac:dyDescent="0.35">
      <c r="A18" s="49">
        <v>800</v>
      </c>
      <c r="B18" s="63">
        <v>49.527000000000001</v>
      </c>
      <c r="C18" s="45">
        <v>3665.3</v>
      </c>
      <c r="D18" s="45">
        <v>4160.6000000000004</v>
      </c>
      <c r="E18" s="46">
        <v>10.631</v>
      </c>
      <c r="F18" s="34"/>
      <c r="G18" s="63">
        <v>9.9047000000000001</v>
      </c>
      <c r="H18" s="45">
        <v>3665.2</v>
      </c>
      <c r="I18" s="45">
        <v>4160.3999999999996</v>
      </c>
      <c r="J18" s="46">
        <v>9.8881999999999994</v>
      </c>
      <c r="K18" s="34"/>
      <c r="L18" s="63">
        <v>4.9519000000000002</v>
      </c>
      <c r="M18" s="45">
        <v>3665</v>
      </c>
      <c r="N18" s="45">
        <v>4160.2</v>
      </c>
      <c r="O18" s="46">
        <v>9.5680999999999994</v>
      </c>
    </row>
    <row r="19" spans="1:15" x14ac:dyDescent="0.35">
      <c r="A19" s="49">
        <v>900</v>
      </c>
      <c r="B19" s="63">
        <v>54.142000000000003</v>
      </c>
      <c r="C19" s="45">
        <v>3856.9</v>
      </c>
      <c r="D19" s="45">
        <v>4398.3</v>
      </c>
      <c r="E19" s="46">
        <v>10.843</v>
      </c>
      <c r="F19" s="34"/>
      <c r="G19" s="63">
        <v>10.827999999999999</v>
      </c>
      <c r="H19" s="45">
        <v>3856.8</v>
      </c>
      <c r="I19" s="45">
        <v>4398.2</v>
      </c>
      <c r="J19" s="46">
        <v>10.1</v>
      </c>
      <c r="K19" s="34"/>
      <c r="L19" s="63">
        <v>5.4137000000000004</v>
      </c>
      <c r="M19" s="45">
        <v>3856.6</v>
      </c>
      <c r="N19" s="45">
        <v>4398</v>
      </c>
      <c r="O19" s="46">
        <v>9.7799999999999994</v>
      </c>
    </row>
    <row r="20" spans="1:15" x14ac:dyDescent="0.35">
      <c r="A20" s="49">
        <v>1000</v>
      </c>
      <c r="B20" s="63">
        <v>58.758000000000003</v>
      </c>
      <c r="C20" s="45">
        <v>4055.2</v>
      </c>
      <c r="D20" s="45">
        <v>4642.8</v>
      </c>
      <c r="E20" s="46">
        <v>11.042999999999999</v>
      </c>
      <c r="F20" s="34"/>
      <c r="G20" s="63">
        <v>11.750999999999999</v>
      </c>
      <c r="H20" s="45">
        <v>4055.1</v>
      </c>
      <c r="I20" s="45">
        <v>4642.7</v>
      </c>
      <c r="J20" s="46">
        <v>10.3</v>
      </c>
      <c r="K20" s="34"/>
      <c r="L20" s="63">
        <v>5.8754</v>
      </c>
      <c r="M20" s="45">
        <v>4055</v>
      </c>
      <c r="N20" s="45">
        <v>4642.6000000000004</v>
      </c>
      <c r="O20" s="46">
        <v>9.98</v>
      </c>
    </row>
    <row r="22" spans="1:15" x14ac:dyDescent="0.35">
      <c r="A22" s="34"/>
      <c r="B22" s="64" t="s">
        <v>271</v>
      </c>
      <c r="C22" s="53"/>
      <c r="D22" s="51"/>
      <c r="E22" s="52"/>
      <c r="F22" s="34"/>
      <c r="H22" s="50" t="s">
        <v>272</v>
      </c>
      <c r="I22" s="51"/>
      <c r="J22" s="52"/>
      <c r="K22" s="34"/>
      <c r="M22" s="50" t="s">
        <v>273</v>
      </c>
      <c r="N22" s="51"/>
      <c r="O22" s="52"/>
    </row>
    <row r="23" spans="1:15" x14ac:dyDescent="0.35">
      <c r="A23" s="47" t="s">
        <v>251</v>
      </c>
      <c r="B23" s="61" t="s">
        <v>262</v>
      </c>
      <c r="C23" s="39" t="s">
        <v>263</v>
      </c>
      <c r="D23" s="39" t="s">
        <v>264</v>
      </c>
      <c r="E23" s="40" t="s">
        <v>265</v>
      </c>
      <c r="F23" s="34"/>
      <c r="G23" s="61" t="s">
        <v>262</v>
      </c>
      <c r="H23" s="39" t="s">
        <v>263</v>
      </c>
      <c r="I23" s="39" t="s">
        <v>264</v>
      </c>
      <c r="J23" s="40" t="s">
        <v>265</v>
      </c>
      <c r="K23" s="34"/>
      <c r="L23" s="61" t="s">
        <v>262</v>
      </c>
      <c r="M23" s="39" t="s">
        <v>263</v>
      </c>
      <c r="N23" s="39" t="s">
        <v>264</v>
      </c>
      <c r="O23" s="40" t="s">
        <v>265</v>
      </c>
    </row>
    <row r="24" spans="1:15" x14ac:dyDescent="0.35">
      <c r="A24" s="48" t="s">
        <v>252</v>
      </c>
      <c r="B24" s="62" t="s">
        <v>266</v>
      </c>
      <c r="C24" s="42" t="s">
        <v>267</v>
      </c>
      <c r="D24" s="42" t="s">
        <v>268</v>
      </c>
      <c r="E24" s="43" t="s">
        <v>269</v>
      </c>
      <c r="F24" s="34"/>
      <c r="G24" s="62" t="s">
        <v>266</v>
      </c>
      <c r="H24" s="42" t="s">
        <v>267</v>
      </c>
      <c r="I24" s="42" t="s">
        <v>268</v>
      </c>
      <c r="J24" s="43" t="s">
        <v>269</v>
      </c>
      <c r="K24" s="34"/>
      <c r="L24" s="62" t="s">
        <v>266</v>
      </c>
      <c r="M24" s="42" t="s">
        <v>267</v>
      </c>
      <c r="N24" s="42" t="s">
        <v>268</v>
      </c>
      <c r="O24" s="43" t="s">
        <v>269</v>
      </c>
    </row>
    <row r="25" spans="1:15" x14ac:dyDescent="0.35">
      <c r="A25" s="47" t="s">
        <v>270</v>
      </c>
      <c r="B25" s="63">
        <v>0.88568000000000002</v>
      </c>
      <c r="C25" s="45">
        <v>2529.1</v>
      </c>
      <c r="D25" s="45">
        <v>2706.2</v>
      </c>
      <c r="E25" s="46">
        <v>7.1269</v>
      </c>
      <c r="F25" s="35"/>
      <c r="G25" s="63">
        <v>0.60575999999999997</v>
      </c>
      <c r="H25" s="45">
        <v>2543.1999999999998</v>
      </c>
      <c r="I25" s="45">
        <v>2724.9</v>
      </c>
      <c r="J25" s="46">
        <v>6.9916</v>
      </c>
      <c r="K25" s="35"/>
      <c r="L25" s="63">
        <v>0.46238000000000001</v>
      </c>
      <c r="M25" s="45">
        <v>2553.1</v>
      </c>
      <c r="N25" s="45">
        <v>2738.1</v>
      </c>
      <c r="O25" s="46">
        <v>6.8955000000000002</v>
      </c>
    </row>
    <row r="26" spans="1:15" x14ac:dyDescent="0.35">
      <c r="A26" s="49">
        <v>150</v>
      </c>
      <c r="B26" s="63">
        <v>0.95986000000000005</v>
      </c>
      <c r="C26" s="45">
        <v>2577.1</v>
      </c>
      <c r="D26" s="45">
        <v>2769.1</v>
      </c>
      <c r="E26" s="46">
        <v>7.2809999999999997</v>
      </c>
      <c r="F26" s="35"/>
      <c r="G26" s="63">
        <v>0.63400999999999996</v>
      </c>
      <c r="H26" s="45">
        <v>2571</v>
      </c>
      <c r="I26" s="45">
        <v>2761.2</v>
      </c>
      <c r="J26" s="46">
        <v>7.0791000000000004</v>
      </c>
      <c r="K26" s="35"/>
      <c r="L26" s="63">
        <v>0.47088000000000002</v>
      </c>
      <c r="M26" s="45">
        <v>2564.4</v>
      </c>
      <c r="N26" s="45">
        <v>2752.8</v>
      </c>
      <c r="O26" s="46">
        <v>6.9306000000000001</v>
      </c>
    </row>
    <row r="27" spans="1:15" x14ac:dyDescent="0.35">
      <c r="A27" s="49">
        <v>200</v>
      </c>
      <c r="B27" s="63">
        <v>1.0805</v>
      </c>
      <c r="C27" s="45">
        <v>2654.6</v>
      </c>
      <c r="D27" s="45">
        <v>2870.7</v>
      </c>
      <c r="E27" s="46">
        <v>7.5080999999999998</v>
      </c>
      <c r="F27" s="35"/>
      <c r="G27" s="63">
        <v>0.71641999999999995</v>
      </c>
      <c r="H27" s="45">
        <v>2651</v>
      </c>
      <c r="I27" s="45">
        <v>2865.9</v>
      </c>
      <c r="J27" s="46">
        <v>7.3131000000000004</v>
      </c>
      <c r="K27" s="35"/>
      <c r="L27" s="63">
        <v>0.53432999999999997</v>
      </c>
      <c r="M27" s="45">
        <v>2647.2</v>
      </c>
      <c r="N27" s="45">
        <v>2860.9</v>
      </c>
      <c r="O27" s="46">
        <v>7.1722999999999999</v>
      </c>
    </row>
    <row r="28" spans="1:15" x14ac:dyDescent="0.35">
      <c r="A28" s="49">
        <v>250</v>
      </c>
      <c r="B28" s="63">
        <v>1.1989000000000001</v>
      </c>
      <c r="C28" s="45">
        <v>2731.4</v>
      </c>
      <c r="D28" s="45">
        <v>2971.2</v>
      </c>
      <c r="E28" s="46">
        <v>7.71</v>
      </c>
      <c r="F28" s="35"/>
      <c r="G28" s="63">
        <v>0.79644000000000004</v>
      </c>
      <c r="H28" s="45">
        <v>2728.9</v>
      </c>
      <c r="I28" s="45">
        <v>2967.9</v>
      </c>
      <c r="J28" s="46">
        <v>7.5179999999999998</v>
      </c>
      <c r="K28" s="35"/>
      <c r="L28" s="63">
        <v>0.59519999999999995</v>
      </c>
      <c r="M28" s="45">
        <v>2726.4</v>
      </c>
      <c r="N28" s="45">
        <v>2964.5</v>
      </c>
      <c r="O28" s="46">
        <v>7.3803999999999998</v>
      </c>
    </row>
    <row r="29" spans="1:15" x14ac:dyDescent="0.35">
      <c r="A29" s="49">
        <v>300</v>
      </c>
      <c r="B29" s="63">
        <v>1.3162</v>
      </c>
      <c r="C29" s="45">
        <v>2808.8</v>
      </c>
      <c r="D29" s="45">
        <v>3072.1</v>
      </c>
      <c r="E29" s="46">
        <v>7.8940999999999999</v>
      </c>
      <c r="F29" s="35"/>
      <c r="G29" s="63">
        <v>0.87534000000000001</v>
      </c>
      <c r="H29" s="45">
        <v>2807</v>
      </c>
      <c r="I29" s="45">
        <v>3069.6</v>
      </c>
      <c r="J29" s="46">
        <v>7.7037000000000004</v>
      </c>
      <c r="K29" s="35"/>
      <c r="L29" s="63">
        <v>0.65488999999999997</v>
      </c>
      <c r="M29" s="45">
        <v>2805.1</v>
      </c>
      <c r="N29" s="45">
        <v>3067.1</v>
      </c>
      <c r="O29" s="46">
        <v>7.5677000000000003</v>
      </c>
    </row>
    <row r="30" spans="1:15" x14ac:dyDescent="0.35">
      <c r="A30" s="49">
        <v>350</v>
      </c>
      <c r="B30" s="63">
        <v>1.4330000000000001</v>
      </c>
      <c r="C30" s="45">
        <v>2887.3</v>
      </c>
      <c r="D30" s="45">
        <v>3173.9</v>
      </c>
      <c r="E30" s="46">
        <v>8.0643999999999991</v>
      </c>
      <c r="F30" s="35"/>
      <c r="G30" s="63">
        <v>0.95362999999999998</v>
      </c>
      <c r="H30" s="45">
        <v>2885.9</v>
      </c>
      <c r="I30" s="45">
        <v>3172</v>
      </c>
      <c r="J30" s="46">
        <v>7.875</v>
      </c>
      <c r="K30" s="35"/>
      <c r="L30" s="63">
        <v>0.71396000000000004</v>
      </c>
      <c r="M30" s="45">
        <v>2884.4</v>
      </c>
      <c r="N30" s="45">
        <v>3170</v>
      </c>
      <c r="O30" s="46">
        <v>7.7398999999999996</v>
      </c>
    </row>
    <row r="31" spans="1:15" x14ac:dyDescent="0.35">
      <c r="A31" s="49">
        <v>400</v>
      </c>
      <c r="B31" s="63">
        <v>1.5492999999999999</v>
      </c>
      <c r="C31" s="45">
        <v>2967.1</v>
      </c>
      <c r="D31" s="45">
        <v>3277</v>
      </c>
      <c r="E31" s="46">
        <v>8.2235999999999994</v>
      </c>
      <c r="F31" s="35"/>
      <c r="G31" s="63">
        <v>1.0315000000000001</v>
      </c>
      <c r="H31" s="45">
        <v>2966</v>
      </c>
      <c r="I31" s="45">
        <v>3275.5</v>
      </c>
      <c r="J31" s="46">
        <v>8.0347000000000008</v>
      </c>
      <c r="K31" s="35"/>
      <c r="L31" s="63">
        <v>0.77263999999999999</v>
      </c>
      <c r="M31" s="45">
        <v>2964.9</v>
      </c>
      <c r="N31" s="45">
        <v>3273.9</v>
      </c>
      <c r="O31" s="46">
        <v>7.9001999999999999</v>
      </c>
    </row>
    <row r="32" spans="1:15" x14ac:dyDescent="0.35">
      <c r="A32" s="49">
        <v>450</v>
      </c>
      <c r="B32" s="63">
        <v>1.6655</v>
      </c>
      <c r="C32" s="45">
        <v>3048.5</v>
      </c>
      <c r="D32" s="45">
        <v>3381.6</v>
      </c>
      <c r="E32" s="46">
        <v>8.3734000000000002</v>
      </c>
      <c r="F32" s="35"/>
      <c r="G32" s="63">
        <v>1.1092</v>
      </c>
      <c r="H32" s="45">
        <v>3047.5</v>
      </c>
      <c r="I32" s="45">
        <v>3380.3</v>
      </c>
      <c r="J32" s="46">
        <v>8.1849000000000007</v>
      </c>
      <c r="K32" s="35"/>
      <c r="L32" s="63">
        <v>0.83109</v>
      </c>
      <c r="M32" s="45">
        <v>3046.6</v>
      </c>
      <c r="N32" s="45">
        <v>3379</v>
      </c>
      <c r="O32" s="46">
        <v>8.0508000000000006</v>
      </c>
    </row>
    <row r="33" spans="1:15" x14ac:dyDescent="0.35">
      <c r="A33" s="49">
        <v>500</v>
      </c>
      <c r="B33" s="63">
        <v>1.7814000000000001</v>
      </c>
      <c r="C33" s="45">
        <v>3131.4</v>
      </c>
      <c r="D33" s="45">
        <v>3487.7</v>
      </c>
      <c r="E33" s="46">
        <v>8.5152000000000001</v>
      </c>
      <c r="F33" s="35"/>
      <c r="G33" s="63">
        <v>1.1867000000000001</v>
      </c>
      <c r="H33" s="45">
        <v>3130.6</v>
      </c>
      <c r="I33" s="45">
        <v>3486.6</v>
      </c>
      <c r="J33" s="46">
        <v>8.3270999999999997</v>
      </c>
      <c r="K33" s="35"/>
      <c r="L33" s="63">
        <v>0.88936000000000004</v>
      </c>
      <c r="M33" s="45">
        <v>3129.8</v>
      </c>
      <c r="N33" s="45">
        <v>3485.5</v>
      </c>
      <c r="O33" s="46">
        <v>8.1933000000000007</v>
      </c>
    </row>
    <row r="34" spans="1:15" x14ac:dyDescent="0.35">
      <c r="A34" s="49">
        <v>600</v>
      </c>
      <c r="B34" s="63">
        <v>2.0129999999999999</v>
      </c>
      <c r="C34" s="45">
        <v>3302.2</v>
      </c>
      <c r="D34" s="45">
        <v>3704.8</v>
      </c>
      <c r="E34" s="46">
        <v>8.7791999999999994</v>
      </c>
      <c r="F34" s="35"/>
      <c r="G34" s="63">
        <v>1.3413999999999999</v>
      </c>
      <c r="H34" s="45">
        <v>3301.6</v>
      </c>
      <c r="I34" s="45">
        <v>3704</v>
      </c>
      <c r="J34" s="46">
        <v>8.5914000000000001</v>
      </c>
      <c r="K34" s="35"/>
      <c r="L34" s="63">
        <v>1.0056</v>
      </c>
      <c r="M34" s="45">
        <v>3301</v>
      </c>
      <c r="N34" s="45">
        <v>3703.2</v>
      </c>
      <c r="O34" s="46">
        <v>8.4580000000000002</v>
      </c>
    </row>
    <row r="35" spans="1:15" x14ac:dyDescent="0.35">
      <c r="A35" s="49">
        <v>700</v>
      </c>
      <c r="B35" s="63">
        <v>2.2443</v>
      </c>
      <c r="C35" s="45">
        <v>3479.9</v>
      </c>
      <c r="D35" s="45">
        <v>3928.8</v>
      </c>
      <c r="E35" s="46">
        <v>9.0220000000000002</v>
      </c>
      <c r="F35" s="35"/>
      <c r="G35" s="63">
        <v>1.4958</v>
      </c>
      <c r="H35" s="45">
        <v>3479.5</v>
      </c>
      <c r="I35" s="45">
        <v>3928.2</v>
      </c>
      <c r="J35" s="46">
        <v>8.8344000000000005</v>
      </c>
      <c r="K35" s="35"/>
      <c r="L35" s="63">
        <v>1.1214999999999999</v>
      </c>
      <c r="M35" s="45">
        <v>3479</v>
      </c>
      <c r="N35" s="45">
        <v>3927.6</v>
      </c>
      <c r="O35" s="46">
        <v>8.7012</v>
      </c>
    </row>
    <row r="36" spans="1:15" x14ac:dyDescent="0.35">
      <c r="A36" s="49">
        <v>800</v>
      </c>
      <c r="B36" s="63">
        <v>2.4754999999999998</v>
      </c>
      <c r="C36" s="45">
        <v>3664.7</v>
      </c>
      <c r="D36" s="45">
        <v>4159.8</v>
      </c>
      <c r="E36" s="46">
        <v>9.2478999999999996</v>
      </c>
      <c r="F36" s="35"/>
      <c r="G36" s="63">
        <v>1.65</v>
      </c>
      <c r="H36" s="45">
        <v>3664.3</v>
      </c>
      <c r="I36" s="45">
        <v>4159.3</v>
      </c>
      <c r="J36" s="46">
        <v>9.0603999999999996</v>
      </c>
      <c r="K36" s="35"/>
      <c r="L36" s="63">
        <v>1.2373000000000001</v>
      </c>
      <c r="M36" s="45">
        <v>3663.9</v>
      </c>
      <c r="N36" s="45">
        <v>4158.8</v>
      </c>
      <c r="O36" s="46">
        <v>8.9273000000000007</v>
      </c>
    </row>
    <row r="37" spans="1:15" x14ac:dyDescent="0.35">
      <c r="A37" s="49">
        <v>900</v>
      </c>
      <c r="B37" s="63">
        <v>2.7065999999999999</v>
      </c>
      <c r="C37" s="45">
        <v>3856.3</v>
      </c>
      <c r="D37" s="45">
        <v>4397.6000000000004</v>
      </c>
      <c r="E37" s="46">
        <v>9.4597999999999995</v>
      </c>
      <c r="F37" s="35"/>
      <c r="G37" s="63">
        <v>1.8042</v>
      </c>
      <c r="H37" s="45">
        <v>3856</v>
      </c>
      <c r="I37" s="45">
        <v>4397.3</v>
      </c>
      <c r="J37" s="46">
        <v>9.2723999999999993</v>
      </c>
      <c r="K37" s="35"/>
      <c r="L37" s="63">
        <v>1.353</v>
      </c>
      <c r="M37" s="45">
        <v>3855.7</v>
      </c>
      <c r="N37" s="45">
        <v>4396.8999999999996</v>
      </c>
      <c r="O37" s="46">
        <v>9.1394000000000002</v>
      </c>
    </row>
    <row r="38" spans="1:15" x14ac:dyDescent="0.35">
      <c r="A38" s="49">
        <v>1000</v>
      </c>
      <c r="B38" s="63">
        <v>2.9375</v>
      </c>
      <c r="C38" s="45">
        <v>4054.8</v>
      </c>
      <c r="D38" s="45">
        <v>4642.3</v>
      </c>
      <c r="E38" s="46">
        <v>9.6599000000000004</v>
      </c>
      <c r="F38" s="35"/>
      <c r="G38" s="63">
        <v>1.9581999999999999</v>
      </c>
      <c r="H38" s="45">
        <v>4054.5</v>
      </c>
      <c r="I38" s="45">
        <v>4642</v>
      </c>
      <c r="J38" s="46">
        <v>9.4725999999999999</v>
      </c>
      <c r="K38" s="35"/>
      <c r="L38" s="63">
        <v>1.4685999999999999</v>
      </c>
      <c r="M38" s="45">
        <v>4054.3</v>
      </c>
      <c r="N38" s="45">
        <v>4641.7</v>
      </c>
      <c r="O38" s="46">
        <v>9.3396000000000008</v>
      </c>
    </row>
    <row r="40" spans="1:15" x14ac:dyDescent="0.35">
      <c r="A40" s="37"/>
      <c r="B40" s="64" t="s">
        <v>274</v>
      </c>
      <c r="C40" s="53"/>
      <c r="D40" s="51"/>
      <c r="E40" s="52"/>
      <c r="F40" s="34"/>
      <c r="H40" s="50" t="s">
        <v>275</v>
      </c>
      <c r="I40" s="51"/>
      <c r="J40" s="52"/>
      <c r="K40" s="34"/>
      <c r="M40" s="50" t="s">
        <v>276</v>
      </c>
      <c r="N40" s="51"/>
      <c r="O40" s="52"/>
    </row>
    <row r="41" spans="1:15" x14ac:dyDescent="0.35">
      <c r="A41" s="47" t="s">
        <v>251</v>
      </c>
      <c r="B41" s="61" t="s">
        <v>262</v>
      </c>
      <c r="C41" s="39" t="s">
        <v>263</v>
      </c>
      <c r="D41" s="39" t="s">
        <v>264</v>
      </c>
      <c r="E41" s="40" t="s">
        <v>265</v>
      </c>
      <c r="F41" s="34"/>
      <c r="G41" s="61" t="s">
        <v>262</v>
      </c>
      <c r="H41" s="39" t="s">
        <v>263</v>
      </c>
      <c r="I41" s="39" t="s">
        <v>264</v>
      </c>
      <c r="J41" s="40" t="s">
        <v>265</v>
      </c>
      <c r="K41" s="34"/>
      <c r="L41" s="61" t="s">
        <v>262</v>
      </c>
      <c r="M41" s="39" t="s">
        <v>263</v>
      </c>
      <c r="N41" s="39" t="s">
        <v>264</v>
      </c>
      <c r="O41" s="40" t="s">
        <v>265</v>
      </c>
    </row>
    <row r="42" spans="1:15" x14ac:dyDescent="0.35">
      <c r="A42" s="48" t="s">
        <v>252</v>
      </c>
      <c r="B42" s="62" t="s">
        <v>266</v>
      </c>
      <c r="C42" s="42" t="s">
        <v>267</v>
      </c>
      <c r="D42" s="42" t="s">
        <v>268</v>
      </c>
      <c r="E42" s="43" t="s">
        <v>269</v>
      </c>
      <c r="F42" s="34"/>
      <c r="G42" s="62" t="s">
        <v>266</v>
      </c>
      <c r="H42" s="42" t="s">
        <v>267</v>
      </c>
      <c r="I42" s="42" t="s">
        <v>268</v>
      </c>
      <c r="J42" s="43" t="s">
        <v>269</v>
      </c>
      <c r="K42" s="34"/>
      <c r="L42" s="62" t="s">
        <v>266</v>
      </c>
      <c r="M42" s="42" t="s">
        <v>267</v>
      </c>
      <c r="N42" s="42" t="s">
        <v>268</v>
      </c>
      <c r="O42" s="43" t="s">
        <v>269</v>
      </c>
    </row>
    <row r="43" spans="1:15" x14ac:dyDescent="0.35">
      <c r="A43" s="47" t="s">
        <v>270</v>
      </c>
      <c r="B43" s="63">
        <v>0.37480999999999998</v>
      </c>
      <c r="C43" s="45">
        <v>2560.6999999999998</v>
      </c>
      <c r="D43" s="45">
        <v>2748.1</v>
      </c>
      <c r="E43" s="46">
        <v>6.8207000000000004</v>
      </c>
      <c r="F43" s="34"/>
      <c r="G43" s="63">
        <v>0.31558000000000003</v>
      </c>
      <c r="H43" s="45">
        <v>2566.8000000000002</v>
      </c>
      <c r="I43" s="45">
        <v>2756.1</v>
      </c>
      <c r="J43" s="46">
        <v>6.7591999999999999</v>
      </c>
      <c r="K43" s="34"/>
      <c r="L43" s="63">
        <v>0.24034</v>
      </c>
      <c r="M43" s="45">
        <v>2576</v>
      </c>
      <c r="N43" s="45">
        <v>2768.3</v>
      </c>
      <c r="O43" s="46">
        <v>6.6616</v>
      </c>
    </row>
    <row r="44" spans="1:15" x14ac:dyDescent="0.35">
      <c r="A44" s="49">
        <v>200</v>
      </c>
      <c r="B44" s="63">
        <v>0.42503000000000002</v>
      </c>
      <c r="C44" s="45">
        <v>2643.3</v>
      </c>
      <c r="D44" s="45">
        <v>2855.8</v>
      </c>
      <c r="E44" s="46">
        <v>7.0609999999999999</v>
      </c>
      <c r="F44" s="34"/>
      <c r="G44" s="63">
        <v>0.35211999999999999</v>
      </c>
      <c r="H44" s="45">
        <v>2639.3</v>
      </c>
      <c r="I44" s="45">
        <v>2850.6</v>
      </c>
      <c r="J44" s="46">
        <v>6.9683000000000002</v>
      </c>
      <c r="K44" s="34"/>
      <c r="L44" s="63">
        <v>0.26088</v>
      </c>
      <c r="M44" s="45">
        <v>2631</v>
      </c>
      <c r="N44" s="45">
        <v>2839.7</v>
      </c>
      <c r="O44" s="46">
        <v>6.8175999999999997</v>
      </c>
    </row>
    <row r="45" spans="1:15" x14ac:dyDescent="0.35">
      <c r="A45" s="49">
        <v>250</v>
      </c>
      <c r="B45" s="63">
        <v>0.47443000000000002</v>
      </c>
      <c r="C45" s="45">
        <v>2723.8</v>
      </c>
      <c r="D45" s="45">
        <v>2961</v>
      </c>
      <c r="E45" s="46">
        <v>7.2724000000000002</v>
      </c>
      <c r="F45" s="34"/>
      <c r="G45" s="63">
        <v>0.39389999999999997</v>
      </c>
      <c r="H45" s="45">
        <v>2721.2</v>
      </c>
      <c r="I45" s="45">
        <v>2957.6</v>
      </c>
      <c r="J45" s="46">
        <v>7.1832000000000003</v>
      </c>
      <c r="K45" s="34"/>
      <c r="L45" s="63">
        <v>0.29320000000000002</v>
      </c>
      <c r="M45" s="45">
        <v>2715.9</v>
      </c>
      <c r="N45" s="45">
        <v>2950.4</v>
      </c>
      <c r="O45" s="46">
        <v>7.0400999999999998</v>
      </c>
    </row>
    <row r="46" spans="1:15" x14ac:dyDescent="0.35">
      <c r="A46" s="49">
        <v>300</v>
      </c>
      <c r="B46" s="63">
        <v>0.52261000000000002</v>
      </c>
      <c r="C46" s="45">
        <v>2803.2</v>
      </c>
      <c r="D46" s="45">
        <v>3064.6</v>
      </c>
      <c r="E46" s="46">
        <v>7.4614000000000003</v>
      </c>
      <c r="F46" s="34"/>
      <c r="G46" s="63">
        <v>0.43441999999999997</v>
      </c>
      <c r="H46" s="45">
        <v>2801.4</v>
      </c>
      <c r="I46" s="45">
        <v>3062</v>
      </c>
      <c r="J46" s="46">
        <v>7.3739999999999997</v>
      </c>
      <c r="K46" s="34"/>
      <c r="L46" s="63">
        <v>0.32416</v>
      </c>
      <c r="M46" s="45">
        <v>2797.5</v>
      </c>
      <c r="N46" s="45">
        <v>3056.9</v>
      </c>
      <c r="O46" s="46">
        <v>7.2344999999999997</v>
      </c>
    </row>
    <row r="47" spans="1:15" x14ac:dyDescent="0.35">
      <c r="A47" s="49">
        <v>350</v>
      </c>
      <c r="B47" s="63">
        <v>0.57015000000000005</v>
      </c>
      <c r="C47" s="45">
        <v>2883</v>
      </c>
      <c r="D47" s="45">
        <v>3168.1</v>
      </c>
      <c r="E47" s="46">
        <v>7.6345999999999998</v>
      </c>
      <c r="F47" s="34"/>
      <c r="G47" s="63">
        <v>0.47427000000000002</v>
      </c>
      <c r="H47" s="45">
        <v>2881.6</v>
      </c>
      <c r="I47" s="45">
        <v>3166.1</v>
      </c>
      <c r="J47" s="46">
        <v>7.5480999999999998</v>
      </c>
      <c r="K47" s="34"/>
      <c r="L47" s="63">
        <v>0.35442000000000001</v>
      </c>
      <c r="M47" s="45">
        <v>2878.6</v>
      </c>
      <c r="N47" s="45">
        <v>3162.2</v>
      </c>
      <c r="O47" s="46">
        <v>7.4105999999999996</v>
      </c>
    </row>
    <row r="48" spans="1:15" x14ac:dyDescent="0.35">
      <c r="A48" s="49">
        <v>400</v>
      </c>
      <c r="B48" s="63">
        <v>0.61729999999999996</v>
      </c>
      <c r="C48" s="45">
        <v>2963.7</v>
      </c>
      <c r="D48" s="45">
        <v>3272.3</v>
      </c>
      <c r="E48" s="46">
        <v>7.7954999999999997</v>
      </c>
      <c r="F48" s="34"/>
      <c r="G48" s="63">
        <v>0.51373999999999997</v>
      </c>
      <c r="H48" s="45">
        <v>2962.5</v>
      </c>
      <c r="I48" s="45">
        <v>3270.8</v>
      </c>
      <c r="J48" s="46">
        <v>7.7096999999999998</v>
      </c>
      <c r="K48" s="34"/>
      <c r="L48" s="63">
        <v>0.38428000000000001</v>
      </c>
      <c r="M48" s="45">
        <v>2960.2</v>
      </c>
      <c r="N48" s="45">
        <v>3267.6</v>
      </c>
      <c r="O48" s="46">
        <v>7.5734000000000004</v>
      </c>
    </row>
    <row r="49" spans="1:15" x14ac:dyDescent="0.35">
      <c r="A49" s="49">
        <v>450</v>
      </c>
      <c r="B49" s="63">
        <v>0.66420999999999997</v>
      </c>
      <c r="C49" s="45">
        <v>3045.6</v>
      </c>
      <c r="D49" s="45">
        <v>3377.7</v>
      </c>
      <c r="E49" s="46">
        <v>7.9465000000000003</v>
      </c>
      <c r="F49" s="34"/>
      <c r="G49" s="63">
        <v>0.55296000000000001</v>
      </c>
      <c r="H49" s="45">
        <v>3044.7</v>
      </c>
      <c r="I49" s="45">
        <v>3376.5</v>
      </c>
      <c r="J49" s="46">
        <v>7.8611000000000004</v>
      </c>
      <c r="K49" s="34"/>
      <c r="L49" s="63">
        <v>0.41388999999999998</v>
      </c>
      <c r="M49" s="45">
        <v>3042.8</v>
      </c>
      <c r="N49" s="45">
        <v>3373.9</v>
      </c>
      <c r="O49" s="46">
        <v>7.7256999999999998</v>
      </c>
    </row>
    <row r="50" spans="1:15" x14ac:dyDescent="0.35">
      <c r="A50" s="49">
        <v>500</v>
      </c>
      <c r="B50" s="63">
        <v>0.71094000000000002</v>
      </c>
      <c r="C50" s="45">
        <v>3129</v>
      </c>
      <c r="D50" s="45">
        <v>3484.5</v>
      </c>
      <c r="E50" s="46">
        <v>8.0891999999999999</v>
      </c>
      <c r="F50" s="34"/>
      <c r="G50" s="63">
        <v>0.59199999999999997</v>
      </c>
      <c r="H50" s="45">
        <v>3128.2</v>
      </c>
      <c r="I50" s="45">
        <v>3483.4</v>
      </c>
      <c r="J50" s="46">
        <v>8.0040999999999993</v>
      </c>
      <c r="K50" s="34"/>
      <c r="L50" s="63">
        <v>0.44331999999999999</v>
      </c>
      <c r="M50" s="45">
        <v>3126.6</v>
      </c>
      <c r="N50" s="45">
        <v>3481.3</v>
      </c>
      <c r="O50" s="46">
        <v>7.8692000000000002</v>
      </c>
    </row>
    <row r="51" spans="1:15" x14ac:dyDescent="0.35">
      <c r="A51" s="49">
        <v>600</v>
      </c>
      <c r="B51" s="63">
        <v>0.80408999999999997</v>
      </c>
      <c r="C51" s="45">
        <v>3300.4</v>
      </c>
      <c r="D51" s="45">
        <v>3702.5</v>
      </c>
      <c r="E51" s="46">
        <v>8.3543000000000003</v>
      </c>
      <c r="F51" s="34"/>
      <c r="G51" s="63">
        <v>0.66976000000000002</v>
      </c>
      <c r="H51" s="45">
        <v>3299.8</v>
      </c>
      <c r="I51" s="45">
        <v>3701.7</v>
      </c>
      <c r="J51" s="46">
        <v>8.2695000000000007</v>
      </c>
      <c r="K51" s="34"/>
      <c r="L51" s="63">
        <v>0.50185000000000002</v>
      </c>
      <c r="M51" s="45">
        <v>3298.7</v>
      </c>
      <c r="N51" s="45">
        <v>3700.1</v>
      </c>
      <c r="O51" s="46">
        <v>8.1354000000000006</v>
      </c>
    </row>
    <row r="52" spans="1:15" x14ac:dyDescent="0.35">
      <c r="A52" s="49">
        <v>700</v>
      </c>
      <c r="B52" s="63">
        <v>0.89695999999999998</v>
      </c>
      <c r="C52" s="45">
        <v>3478.5</v>
      </c>
      <c r="D52" s="45">
        <v>3927</v>
      </c>
      <c r="E52" s="46">
        <v>8.5976999999999997</v>
      </c>
      <c r="F52" s="34"/>
      <c r="G52" s="63">
        <v>0.74724999999999997</v>
      </c>
      <c r="H52" s="45">
        <v>3478.1</v>
      </c>
      <c r="I52" s="45">
        <v>3926.4</v>
      </c>
      <c r="J52" s="46">
        <v>8.5130999999999997</v>
      </c>
      <c r="K52" s="34"/>
      <c r="L52" s="63">
        <v>0.56011</v>
      </c>
      <c r="M52" s="45">
        <v>3477.2</v>
      </c>
      <c r="N52" s="45">
        <v>3925.3</v>
      </c>
      <c r="O52" s="46">
        <v>8.3794000000000004</v>
      </c>
    </row>
    <row r="53" spans="1:15" x14ac:dyDescent="0.35">
      <c r="A53" s="49">
        <v>800</v>
      </c>
      <c r="B53" s="63">
        <v>0.98965999999999998</v>
      </c>
      <c r="C53" s="45">
        <v>3663.6</v>
      </c>
      <c r="D53" s="45">
        <v>4158.3999999999996</v>
      </c>
      <c r="E53" s="46">
        <v>8.8239999999999998</v>
      </c>
      <c r="F53" s="34"/>
      <c r="G53" s="63">
        <v>0.82457000000000003</v>
      </c>
      <c r="H53" s="45">
        <v>3663.2</v>
      </c>
      <c r="I53" s="45">
        <v>4157.8999999999996</v>
      </c>
      <c r="J53" s="46">
        <v>8.7394999999999996</v>
      </c>
      <c r="K53" s="34"/>
      <c r="L53" s="63">
        <v>0.61819999999999997</v>
      </c>
      <c r="M53" s="45">
        <v>3662.4</v>
      </c>
      <c r="N53" s="45">
        <v>4157</v>
      </c>
      <c r="O53" s="46">
        <v>8.6060999999999996</v>
      </c>
    </row>
    <row r="54" spans="1:15" x14ac:dyDescent="0.35">
      <c r="A54" s="49">
        <v>900</v>
      </c>
      <c r="B54" s="63">
        <v>1.0823</v>
      </c>
      <c r="C54" s="45">
        <v>3855.4</v>
      </c>
      <c r="D54" s="45">
        <v>4396.6000000000004</v>
      </c>
      <c r="E54" s="46">
        <v>9.0361999999999991</v>
      </c>
      <c r="F54" s="34"/>
      <c r="G54" s="63">
        <v>0.90178000000000003</v>
      </c>
      <c r="H54" s="45">
        <v>3855.1</v>
      </c>
      <c r="I54" s="45">
        <v>4396.2</v>
      </c>
      <c r="J54" s="46">
        <v>8.9518000000000004</v>
      </c>
      <c r="K54" s="34"/>
      <c r="L54" s="63">
        <v>0.67618999999999996</v>
      </c>
      <c r="M54" s="45">
        <v>3854.5</v>
      </c>
      <c r="N54" s="45">
        <v>4395.5</v>
      </c>
      <c r="O54" s="46">
        <v>8.8185000000000002</v>
      </c>
    </row>
    <row r="55" spans="1:15" x14ac:dyDescent="0.35">
      <c r="A55" s="49">
        <v>1000</v>
      </c>
      <c r="B55" s="63">
        <v>1.1748000000000001</v>
      </c>
      <c r="C55" s="45">
        <v>4054</v>
      </c>
      <c r="D55" s="45">
        <v>4641.3999999999996</v>
      </c>
      <c r="E55" s="46">
        <v>9.2363999999999997</v>
      </c>
      <c r="F55" s="34"/>
      <c r="G55" s="63">
        <v>0.97892999999999997</v>
      </c>
      <c r="H55" s="45">
        <v>4053.7</v>
      </c>
      <c r="I55" s="45">
        <v>4641.1000000000004</v>
      </c>
      <c r="J55" s="46">
        <v>9.1521000000000008</v>
      </c>
      <c r="K55" s="34"/>
      <c r="L55" s="63">
        <v>0.73411000000000004</v>
      </c>
      <c r="M55" s="45">
        <v>4053.2</v>
      </c>
      <c r="N55" s="45">
        <v>4640.5</v>
      </c>
      <c r="O55" s="46">
        <v>9.0189000000000004</v>
      </c>
    </row>
    <row r="57" spans="1:15" x14ac:dyDescent="0.35">
      <c r="A57" s="37"/>
      <c r="B57" s="64" t="s">
        <v>277</v>
      </c>
      <c r="C57" s="53"/>
      <c r="D57" s="51"/>
      <c r="E57" s="52"/>
      <c r="F57" s="34"/>
      <c r="H57" s="50" t="s">
        <v>278</v>
      </c>
      <c r="I57" s="51"/>
      <c r="J57" s="52"/>
      <c r="K57" s="34"/>
      <c r="M57" s="50" t="s">
        <v>279</v>
      </c>
      <c r="N57" s="51"/>
      <c r="O57" s="52"/>
    </row>
    <row r="58" spans="1:15" x14ac:dyDescent="0.35">
      <c r="A58" s="47" t="s">
        <v>251</v>
      </c>
      <c r="B58" s="61" t="s">
        <v>262</v>
      </c>
      <c r="C58" s="39" t="s">
        <v>263</v>
      </c>
      <c r="D58" s="39" t="s">
        <v>264</v>
      </c>
      <c r="E58" s="40" t="s">
        <v>265</v>
      </c>
      <c r="F58" s="34"/>
      <c r="G58" s="61" t="s">
        <v>262</v>
      </c>
      <c r="H58" s="39" t="s">
        <v>263</v>
      </c>
      <c r="I58" s="39" t="s">
        <v>264</v>
      </c>
      <c r="J58" s="40" t="s">
        <v>265</v>
      </c>
      <c r="K58" s="34"/>
      <c r="L58" s="61" t="s">
        <v>262</v>
      </c>
      <c r="M58" s="39" t="s">
        <v>263</v>
      </c>
      <c r="N58" s="39" t="s">
        <v>264</v>
      </c>
      <c r="O58" s="40" t="s">
        <v>265</v>
      </c>
    </row>
    <row r="59" spans="1:15" x14ac:dyDescent="0.35">
      <c r="A59" s="48" t="s">
        <v>252</v>
      </c>
      <c r="B59" s="62" t="s">
        <v>266</v>
      </c>
      <c r="C59" s="42" t="s">
        <v>267</v>
      </c>
      <c r="D59" s="42" t="s">
        <v>268</v>
      </c>
      <c r="E59" s="43" t="s">
        <v>269</v>
      </c>
      <c r="F59" s="34"/>
      <c r="G59" s="62" t="s">
        <v>266</v>
      </c>
      <c r="H59" s="42" t="s">
        <v>267</v>
      </c>
      <c r="I59" s="42" t="s">
        <v>268</v>
      </c>
      <c r="J59" s="43" t="s">
        <v>269</v>
      </c>
      <c r="K59" s="34"/>
      <c r="L59" s="62" t="s">
        <v>266</v>
      </c>
      <c r="M59" s="42" t="s">
        <v>267</v>
      </c>
      <c r="N59" s="42" t="s">
        <v>268</v>
      </c>
      <c r="O59" s="43" t="s">
        <v>269</v>
      </c>
    </row>
    <row r="60" spans="1:15" x14ac:dyDescent="0.35">
      <c r="A60" s="47" t="s">
        <v>270</v>
      </c>
      <c r="B60" s="63">
        <v>0.19436</v>
      </c>
      <c r="C60" s="45">
        <v>2582.6999999999998</v>
      </c>
      <c r="D60" s="45">
        <v>2777.1</v>
      </c>
      <c r="E60" s="46">
        <v>6.585</v>
      </c>
      <c r="F60" s="34"/>
      <c r="G60" s="63">
        <v>0.16325999999999999</v>
      </c>
      <c r="H60" s="45">
        <v>2587.8000000000002</v>
      </c>
      <c r="I60" s="45">
        <v>2783.7</v>
      </c>
      <c r="J60" s="46">
        <v>6.5217000000000001</v>
      </c>
      <c r="K60" s="34"/>
      <c r="L60" s="63">
        <v>0.14077999999999999</v>
      </c>
      <c r="M60" s="45">
        <v>2591.8000000000002</v>
      </c>
      <c r="N60" s="45">
        <v>2788.8</v>
      </c>
      <c r="O60" s="46">
        <v>6.4675000000000002</v>
      </c>
    </row>
    <row r="61" spans="1:15" x14ac:dyDescent="0.35">
      <c r="A61" s="49">
        <v>200</v>
      </c>
      <c r="B61" s="63">
        <v>0.20602000000000001</v>
      </c>
      <c r="C61" s="45">
        <v>2622.2</v>
      </c>
      <c r="D61" s="45">
        <v>2828.3</v>
      </c>
      <c r="E61" s="46">
        <v>6.6955</v>
      </c>
      <c r="F61" s="34"/>
      <c r="G61" s="63">
        <v>0.16933999999999999</v>
      </c>
      <c r="H61" s="45">
        <v>2612.9</v>
      </c>
      <c r="I61" s="45">
        <v>2816.1</v>
      </c>
      <c r="J61" s="46">
        <v>6.5909000000000004</v>
      </c>
      <c r="K61" s="34"/>
      <c r="L61" s="63">
        <v>0.14302999999999999</v>
      </c>
      <c r="M61" s="45">
        <v>2602.6999999999998</v>
      </c>
      <c r="N61" s="45">
        <v>2803</v>
      </c>
      <c r="O61" s="46">
        <v>6.4974999999999996</v>
      </c>
    </row>
    <row r="62" spans="1:15" x14ac:dyDescent="0.35">
      <c r="A62" s="49">
        <v>250</v>
      </c>
      <c r="B62" s="63">
        <v>0.23275000000000001</v>
      </c>
      <c r="C62" s="45">
        <v>2710.4</v>
      </c>
      <c r="D62" s="45">
        <v>2943.1</v>
      </c>
      <c r="E62" s="46">
        <v>6.9264999999999999</v>
      </c>
      <c r="F62" s="34"/>
      <c r="G62" s="63">
        <v>0.19241</v>
      </c>
      <c r="H62" s="45">
        <v>2704.7</v>
      </c>
      <c r="I62" s="45">
        <v>2935.6</v>
      </c>
      <c r="J62" s="46">
        <v>6.8312999999999997</v>
      </c>
      <c r="K62" s="34"/>
      <c r="L62" s="63">
        <v>0.16356000000000001</v>
      </c>
      <c r="M62" s="45">
        <v>2698.9</v>
      </c>
      <c r="N62" s="45">
        <v>2927.9</v>
      </c>
      <c r="O62" s="46">
        <v>6.7488000000000001</v>
      </c>
    </row>
    <row r="63" spans="1:15" x14ac:dyDescent="0.35">
      <c r="A63" s="49">
        <v>300</v>
      </c>
      <c r="B63" s="63">
        <v>0.25799</v>
      </c>
      <c r="C63" s="45">
        <v>2793.6</v>
      </c>
      <c r="D63" s="45">
        <v>3051.6</v>
      </c>
      <c r="E63" s="46">
        <v>7.1246</v>
      </c>
      <c r="F63" s="34"/>
      <c r="G63" s="63">
        <v>0.21385999999999999</v>
      </c>
      <c r="H63" s="45">
        <v>2789.7</v>
      </c>
      <c r="I63" s="45">
        <v>3046.3</v>
      </c>
      <c r="J63" s="46">
        <v>7.0335000000000001</v>
      </c>
      <c r="K63" s="34"/>
      <c r="L63" s="63">
        <v>0.18232000000000001</v>
      </c>
      <c r="M63" s="45">
        <v>2785.7</v>
      </c>
      <c r="N63" s="45">
        <v>3040.9</v>
      </c>
      <c r="O63" s="46">
        <v>6.9551999999999996</v>
      </c>
    </row>
    <row r="64" spans="1:15" x14ac:dyDescent="0.35">
      <c r="A64" s="49">
        <v>350</v>
      </c>
      <c r="B64" s="63">
        <v>0.28249999999999997</v>
      </c>
      <c r="C64" s="45">
        <v>2875.7</v>
      </c>
      <c r="D64" s="45">
        <v>3158.2</v>
      </c>
      <c r="E64" s="46">
        <v>7.3029000000000002</v>
      </c>
      <c r="F64" s="34"/>
      <c r="G64" s="63">
        <v>0.23455000000000001</v>
      </c>
      <c r="H64" s="45">
        <v>2872.7</v>
      </c>
      <c r="I64" s="45">
        <v>3154.2</v>
      </c>
      <c r="J64" s="46">
        <v>7.2138999999999998</v>
      </c>
      <c r="K64" s="34"/>
      <c r="L64" s="63">
        <v>0.20029</v>
      </c>
      <c r="M64" s="45">
        <v>2869.7</v>
      </c>
      <c r="N64" s="45">
        <v>3150.1</v>
      </c>
      <c r="O64" s="46">
        <v>7.1379000000000001</v>
      </c>
    </row>
    <row r="65" spans="1:15" x14ac:dyDescent="0.35">
      <c r="A65" s="49">
        <v>400</v>
      </c>
      <c r="B65" s="63">
        <v>0.30660999999999999</v>
      </c>
      <c r="C65" s="45">
        <v>2957.9</v>
      </c>
      <c r="D65" s="45">
        <v>3264.5</v>
      </c>
      <c r="E65" s="46">
        <v>7.4668999999999999</v>
      </c>
      <c r="F65" s="34"/>
      <c r="G65" s="63">
        <v>0.25481999999999999</v>
      </c>
      <c r="H65" s="45">
        <v>2955.5</v>
      </c>
      <c r="I65" s="45">
        <v>3261.3</v>
      </c>
      <c r="J65" s="46">
        <v>7.3792999999999997</v>
      </c>
      <c r="K65" s="34"/>
      <c r="L65" s="63">
        <v>0.21782000000000001</v>
      </c>
      <c r="M65" s="45">
        <v>2953.1</v>
      </c>
      <c r="N65" s="45">
        <v>3258.1</v>
      </c>
      <c r="O65" s="46">
        <v>7.3045999999999998</v>
      </c>
    </row>
    <row r="66" spans="1:15" x14ac:dyDescent="0.35">
      <c r="A66" s="49">
        <v>450</v>
      </c>
      <c r="B66" s="63">
        <v>0.33045000000000002</v>
      </c>
      <c r="C66" s="45">
        <v>3040.9</v>
      </c>
      <c r="D66" s="45">
        <v>3371.3</v>
      </c>
      <c r="E66" s="46">
        <v>7.62</v>
      </c>
      <c r="F66" s="34"/>
      <c r="G66" s="63">
        <v>0.27482000000000001</v>
      </c>
      <c r="H66" s="45">
        <v>3038.9</v>
      </c>
      <c r="I66" s="45">
        <v>3368.7</v>
      </c>
      <c r="J66" s="46">
        <v>7.5331999999999999</v>
      </c>
      <c r="K66" s="34"/>
      <c r="L66" s="63">
        <v>0.23508000000000001</v>
      </c>
      <c r="M66" s="45">
        <v>3037</v>
      </c>
      <c r="N66" s="45">
        <v>3366.1</v>
      </c>
      <c r="O66" s="46">
        <v>7.4593999999999996</v>
      </c>
    </row>
    <row r="67" spans="1:15" x14ac:dyDescent="0.35">
      <c r="A67" s="49">
        <v>500</v>
      </c>
      <c r="B67" s="63">
        <v>0.35410999999999998</v>
      </c>
      <c r="C67" s="45">
        <v>3125</v>
      </c>
      <c r="D67" s="45">
        <v>3479.1</v>
      </c>
      <c r="E67" s="46">
        <v>7.7641</v>
      </c>
      <c r="F67" s="34"/>
      <c r="G67" s="63">
        <v>0.29464000000000001</v>
      </c>
      <c r="H67" s="45">
        <v>3123.4</v>
      </c>
      <c r="I67" s="45">
        <v>3476.9</v>
      </c>
      <c r="J67" s="46">
        <v>7.6779000000000002</v>
      </c>
      <c r="K67" s="34"/>
      <c r="L67" s="63">
        <v>0.25216</v>
      </c>
      <c r="M67" s="45">
        <v>3121.8</v>
      </c>
      <c r="N67" s="45">
        <v>3474.8</v>
      </c>
      <c r="O67" s="46">
        <v>7.6047000000000002</v>
      </c>
    </row>
    <row r="68" spans="1:15" x14ac:dyDescent="0.35">
      <c r="A68" s="49">
        <v>600</v>
      </c>
      <c r="B68" s="63">
        <v>0.40111000000000002</v>
      </c>
      <c r="C68" s="45">
        <v>3297.5</v>
      </c>
      <c r="D68" s="45">
        <v>3698.6</v>
      </c>
      <c r="E68" s="46">
        <v>8.0310000000000006</v>
      </c>
      <c r="F68" s="34"/>
      <c r="G68" s="63">
        <v>0.33394000000000001</v>
      </c>
      <c r="H68" s="45">
        <v>3296.3</v>
      </c>
      <c r="I68" s="45">
        <v>3697</v>
      </c>
      <c r="J68" s="46">
        <v>7.9455</v>
      </c>
      <c r="K68" s="34"/>
      <c r="L68" s="63">
        <v>0.28597</v>
      </c>
      <c r="M68" s="45">
        <v>3295.1</v>
      </c>
      <c r="N68" s="45">
        <v>3695.4</v>
      </c>
      <c r="O68" s="46">
        <v>7.8730000000000002</v>
      </c>
    </row>
    <row r="69" spans="1:15" x14ac:dyDescent="0.35">
      <c r="A69" s="49">
        <v>700</v>
      </c>
      <c r="B69" s="63">
        <v>0.44783000000000001</v>
      </c>
      <c r="C69" s="45">
        <v>3476.2</v>
      </c>
      <c r="D69" s="45">
        <v>3924.1</v>
      </c>
      <c r="E69" s="46">
        <v>8.2754999999999992</v>
      </c>
      <c r="F69" s="34"/>
      <c r="G69" s="63">
        <v>0.37297000000000002</v>
      </c>
      <c r="H69" s="45">
        <v>3475.3</v>
      </c>
      <c r="I69" s="45">
        <v>3922.9</v>
      </c>
      <c r="J69" s="46">
        <v>8.1904000000000003</v>
      </c>
      <c r="K69" s="34"/>
      <c r="L69" s="63">
        <v>0.31951000000000002</v>
      </c>
      <c r="M69" s="45">
        <v>3474.4</v>
      </c>
      <c r="N69" s="45">
        <v>3921.7</v>
      </c>
      <c r="O69" s="46">
        <v>8.1182999999999996</v>
      </c>
    </row>
    <row r="70" spans="1:15" x14ac:dyDescent="0.35">
      <c r="A70" s="49">
        <v>800</v>
      </c>
      <c r="B70" s="63">
        <v>0.49437999999999999</v>
      </c>
      <c r="C70" s="45">
        <v>3661.7</v>
      </c>
      <c r="D70" s="45">
        <v>4156.1000000000004</v>
      </c>
      <c r="E70" s="46">
        <v>8.5023999999999997</v>
      </c>
      <c r="F70" s="34"/>
      <c r="G70" s="63">
        <v>0.41183999999999998</v>
      </c>
      <c r="H70" s="45">
        <v>3661</v>
      </c>
      <c r="I70" s="45">
        <v>4155.2</v>
      </c>
      <c r="J70" s="46">
        <v>8.4176000000000002</v>
      </c>
      <c r="K70" s="34"/>
      <c r="L70" s="63">
        <v>0.35287000000000002</v>
      </c>
      <c r="M70" s="45">
        <v>3660.2</v>
      </c>
      <c r="N70" s="45">
        <v>4154.3</v>
      </c>
      <c r="O70" s="46">
        <v>8.3457000000000008</v>
      </c>
    </row>
    <row r="71" spans="1:15" x14ac:dyDescent="0.35">
      <c r="A71" s="49">
        <v>900</v>
      </c>
      <c r="B71" s="63">
        <v>0.54083000000000003</v>
      </c>
      <c r="C71" s="45">
        <v>3853.9</v>
      </c>
      <c r="D71" s="45">
        <v>4394.8</v>
      </c>
      <c r="E71" s="46">
        <v>8.7149999999999999</v>
      </c>
      <c r="F71" s="34"/>
      <c r="G71" s="63">
        <v>0.45058999999999999</v>
      </c>
      <c r="H71" s="45">
        <v>3853.3</v>
      </c>
      <c r="I71" s="45">
        <v>4394</v>
      </c>
      <c r="J71" s="46">
        <v>8.6303000000000001</v>
      </c>
      <c r="K71" s="34"/>
      <c r="L71" s="63">
        <v>0.38613999999999998</v>
      </c>
      <c r="M71" s="45">
        <v>3852.7</v>
      </c>
      <c r="N71" s="45">
        <v>4393.3</v>
      </c>
      <c r="O71" s="46">
        <v>8.5587</v>
      </c>
    </row>
    <row r="72" spans="1:15" x14ac:dyDescent="0.35">
      <c r="A72" s="49">
        <v>1000</v>
      </c>
      <c r="B72" s="63">
        <v>0.58721000000000001</v>
      </c>
      <c r="C72" s="45">
        <v>4052.7</v>
      </c>
      <c r="D72" s="45">
        <v>4639.8999999999996</v>
      </c>
      <c r="E72" s="46">
        <v>8.9154999999999998</v>
      </c>
      <c r="F72" s="34"/>
      <c r="G72" s="63">
        <v>0.48927999999999999</v>
      </c>
      <c r="H72" s="45">
        <v>4052.2</v>
      </c>
      <c r="I72" s="45">
        <v>4639.3999999999996</v>
      </c>
      <c r="J72" s="46">
        <v>8.8309999999999995</v>
      </c>
      <c r="K72" s="34"/>
      <c r="L72" s="63">
        <v>0.41932999999999998</v>
      </c>
      <c r="M72" s="45">
        <v>4051.7</v>
      </c>
      <c r="N72" s="45">
        <v>4638.8</v>
      </c>
      <c r="O72" s="46">
        <v>8.7593999999999994</v>
      </c>
    </row>
    <row r="74" spans="1:15" x14ac:dyDescent="0.35">
      <c r="A74" s="37"/>
      <c r="B74" s="64" t="s">
        <v>280</v>
      </c>
      <c r="C74" s="53"/>
      <c r="D74" s="51"/>
      <c r="E74" s="52"/>
      <c r="F74" s="34"/>
      <c r="H74" s="50" t="s">
        <v>281</v>
      </c>
      <c r="I74" s="51"/>
      <c r="J74" s="52"/>
      <c r="K74" s="34"/>
      <c r="M74" s="50" t="s">
        <v>282</v>
      </c>
      <c r="N74" s="51"/>
      <c r="O74" s="52"/>
    </row>
    <row r="75" spans="1:15" x14ac:dyDescent="0.35">
      <c r="A75" s="47" t="s">
        <v>251</v>
      </c>
      <c r="B75" s="61" t="s">
        <v>262</v>
      </c>
      <c r="C75" s="39" t="s">
        <v>263</v>
      </c>
      <c r="D75" s="39" t="s">
        <v>264</v>
      </c>
      <c r="E75" s="40" t="s">
        <v>265</v>
      </c>
      <c r="F75" s="34"/>
      <c r="G75" s="61" t="s">
        <v>262</v>
      </c>
      <c r="H75" s="39" t="s">
        <v>263</v>
      </c>
      <c r="I75" s="39" t="s">
        <v>264</v>
      </c>
      <c r="J75" s="40" t="s">
        <v>265</v>
      </c>
      <c r="K75" s="34"/>
      <c r="L75" s="61" t="s">
        <v>262</v>
      </c>
      <c r="M75" s="39" t="s">
        <v>263</v>
      </c>
      <c r="N75" s="39" t="s">
        <v>264</v>
      </c>
      <c r="O75" s="40" t="s">
        <v>265</v>
      </c>
    </row>
    <row r="76" spans="1:15" x14ac:dyDescent="0.35">
      <c r="A76" s="48" t="s">
        <v>252</v>
      </c>
      <c r="B76" s="62" t="s">
        <v>266</v>
      </c>
      <c r="C76" s="42" t="s">
        <v>267</v>
      </c>
      <c r="D76" s="42" t="s">
        <v>268</v>
      </c>
      <c r="E76" s="43" t="s">
        <v>269</v>
      </c>
      <c r="F76" s="34"/>
      <c r="G76" s="62" t="s">
        <v>266</v>
      </c>
      <c r="H76" s="42" t="s">
        <v>267</v>
      </c>
      <c r="I76" s="42" t="s">
        <v>268</v>
      </c>
      <c r="J76" s="43" t="s">
        <v>269</v>
      </c>
      <c r="K76" s="34"/>
      <c r="L76" s="62" t="s">
        <v>266</v>
      </c>
      <c r="M76" s="42" t="s">
        <v>267</v>
      </c>
      <c r="N76" s="42" t="s">
        <v>268</v>
      </c>
      <c r="O76" s="43" t="s">
        <v>269</v>
      </c>
    </row>
    <row r="77" spans="1:15" x14ac:dyDescent="0.35">
      <c r="A77" s="47" t="s">
        <v>270</v>
      </c>
      <c r="B77" s="63">
        <v>0.12374</v>
      </c>
      <c r="C77" s="45">
        <v>2594.8000000000002</v>
      </c>
      <c r="D77" s="45">
        <v>2792.8</v>
      </c>
      <c r="E77" s="46">
        <v>6.4199000000000002</v>
      </c>
      <c r="F77" s="34"/>
      <c r="G77" s="63">
        <v>0.11037</v>
      </c>
      <c r="H77" s="45">
        <v>2597.1999999999998</v>
      </c>
      <c r="I77" s="45">
        <v>2795.9</v>
      </c>
      <c r="J77" s="46">
        <v>6.3775000000000004</v>
      </c>
      <c r="K77" s="34"/>
      <c r="L77" s="63">
        <v>9.9585000000000007E-2</v>
      </c>
      <c r="M77" s="45">
        <v>2599.1</v>
      </c>
      <c r="N77" s="45">
        <v>2798.3</v>
      </c>
      <c r="O77" s="46">
        <v>6.3390000000000004</v>
      </c>
    </row>
    <row r="78" spans="1:15" x14ac:dyDescent="0.35">
      <c r="A78" s="49">
        <v>225</v>
      </c>
      <c r="B78" s="63">
        <v>0.13292999999999999</v>
      </c>
      <c r="C78" s="45">
        <v>2645.1</v>
      </c>
      <c r="D78" s="45">
        <v>2857.8</v>
      </c>
      <c r="E78" s="46">
        <v>6.5537000000000001</v>
      </c>
      <c r="F78" s="34"/>
      <c r="G78" s="63">
        <v>0.11677999999999999</v>
      </c>
      <c r="H78" s="45">
        <v>2637</v>
      </c>
      <c r="I78" s="45">
        <v>2847.2</v>
      </c>
      <c r="J78" s="46">
        <v>6.4824000000000002</v>
      </c>
      <c r="K78" s="34"/>
      <c r="L78" s="63">
        <v>0.10381</v>
      </c>
      <c r="M78" s="45">
        <v>2628.5</v>
      </c>
      <c r="N78" s="45">
        <v>2836.1</v>
      </c>
      <c r="O78" s="46">
        <v>6.4160000000000004</v>
      </c>
    </row>
    <row r="79" spans="1:15" x14ac:dyDescent="0.35">
      <c r="A79" s="49">
        <v>250</v>
      </c>
      <c r="B79" s="63">
        <v>0.1419</v>
      </c>
      <c r="C79" s="45">
        <v>2692.9</v>
      </c>
      <c r="D79" s="45">
        <v>2919.9</v>
      </c>
      <c r="E79" s="46">
        <v>6.6753</v>
      </c>
      <c r="F79" s="34"/>
      <c r="G79" s="63">
        <v>0.12501999999999999</v>
      </c>
      <c r="H79" s="45">
        <v>2686.7</v>
      </c>
      <c r="I79" s="45">
        <v>2911.7</v>
      </c>
      <c r="J79" s="46">
        <v>6.6086999999999998</v>
      </c>
      <c r="K79" s="34"/>
      <c r="L79" s="63">
        <v>0.1115</v>
      </c>
      <c r="M79" s="45">
        <v>2680.2</v>
      </c>
      <c r="N79" s="45">
        <v>2903.2</v>
      </c>
      <c r="O79" s="46">
        <v>6.5475000000000003</v>
      </c>
    </row>
    <row r="80" spans="1:15" x14ac:dyDescent="0.35">
      <c r="A80" s="49">
        <v>300</v>
      </c>
      <c r="B80" s="63">
        <v>0.15866</v>
      </c>
      <c r="C80" s="45">
        <v>2781.6</v>
      </c>
      <c r="D80" s="45">
        <v>3035.4</v>
      </c>
      <c r="E80" s="46">
        <v>6.8863000000000003</v>
      </c>
      <c r="F80" s="34"/>
      <c r="G80" s="63">
        <v>0.14025000000000001</v>
      </c>
      <c r="H80" s="45">
        <v>2777.4</v>
      </c>
      <c r="I80" s="45">
        <v>3029.9</v>
      </c>
      <c r="J80" s="46">
        <v>6.8246000000000002</v>
      </c>
      <c r="K80" s="34"/>
      <c r="L80" s="63">
        <v>0.12551000000000001</v>
      </c>
      <c r="M80" s="45">
        <v>2773.2</v>
      </c>
      <c r="N80" s="45">
        <v>3024.2</v>
      </c>
      <c r="O80" s="46">
        <v>6.7683999999999997</v>
      </c>
    </row>
    <row r="81" spans="1:15" x14ac:dyDescent="0.35">
      <c r="A81" s="49">
        <v>350</v>
      </c>
      <c r="B81" s="63">
        <v>0.17459</v>
      </c>
      <c r="C81" s="45">
        <v>2866.6</v>
      </c>
      <c r="D81" s="45">
        <v>3146</v>
      </c>
      <c r="E81" s="46">
        <v>7.0712999999999999</v>
      </c>
      <c r="F81" s="34"/>
      <c r="G81" s="63">
        <v>0.15459999999999999</v>
      </c>
      <c r="H81" s="45">
        <v>2863.6</v>
      </c>
      <c r="I81" s="45">
        <v>3141.8</v>
      </c>
      <c r="J81" s="46">
        <v>7.0119999999999996</v>
      </c>
      <c r="K81" s="34"/>
      <c r="L81" s="63">
        <v>0.1386</v>
      </c>
      <c r="M81" s="45">
        <v>2860.5</v>
      </c>
      <c r="N81" s="45">
        <v>3137.7</v>
      </c>
      <c r="O81" s="46">
        <v>6.9583000000000004</v>
      </c>
    </row>
    <row r="82" spans="1:15" x14ac:dyDescent="0.35">
      <c r="A82" s="49">
        <v>400</v>
      </c>
      <c r="B82" s="63">
        <v>0.19006999999999999</v>
      </c>
      <c r="C82" s="45">
        <v>2950.7</v>
      </c>
      <c r="D82" s="45">
        <v>3254.9</v>
      </c>
      <c r="E82" s="46">
        <v>7.2393999999999998</v>
      </c>
      <c r="F82" s="34"/>
      <c r="G82" s="63">
        <v>0.16849</v>
      </c>
      <c r="H82" s="45">
        <v>2948.3</v>
      </c>
      <c r="I82" s="45">
        <v>3251.6</v>
      </c>
      <c r="J82" s="46">
        <v>7.1814</v>
      </c>
      <c r="K82" s="34"/>
      <c r="L82" s="63">
        <v>0.15121000000000001</v>
      </c>
      <c r="M82" s="45">
        <v>2945.9</v>
      </c>
      <c r="N82" s="45">
        <v>3248.3</v>
      </c>
      <c r="O82" s="46">
        <v>7.1292</v>
      </c>
    </row>
    <row r="83" spans="1:15" x14ac:dyDescent="0.35">
      <c r="A83" s="49">
        <v>450</v>
      </c>
      <c r="B83" s="63">
        <v>0.20527000000000001</v>
      </c>
      <c r="C83" s="45">
        <v>3035</v>
      </c>
      <c r="D83" s="45">
        <v>3363.5</v>
      </c>
      <c r="E83" s="46">
        <v>7.3949999999999996</v>
      </c>
      <c r="F83" s="34"/>
      <c r="G83" s="63">
        <v>0.18209</v>
      </c>
      <c r="H83" s="45">
        <v>3033.1</v>
      </c>
      <c r="I83" s="45">
        <v>3360.9</v>
      </c>
      <c r="J83" s="46">
        <v>7.3380000000000001</v>
      </c>
      <c r="K83" s="34"/>
      <c r="L83" s="63">
        <v>0.16353999999999999</v>
      </c>
      <c r="M83" s="45">
        <v>3031.1</v>
      </c>
      <c r="N83" s="45">
        <v>3358.2</v>
      </c>
      <c r="O83" s="46">
        <v>7.2866</v>
      </c>
    </row>
    <row r="84" spans="1:15" x14ac:dyDescent="0.35">
      <c r="A84" s="49">
        <v>500</v>
      </c>
      <c r="B84" s="63">
        <v>0.22029000000000001</v>
      </c>
      <c r="C84" s="45">
        <v>3120.1</v>
      </c>
      <c r="D84" s="45">
        <v>3472.6</v>
      </c>
      <c r="E84" s="46">
        <v>7.5408999999999997</v>
      </c>
      <c r="F84" s="34"/>
      <c r="G84" s="63">
        <v>0.19550999999999999</v>
      </c>
      <c r="H84" s="45">
        <v>3118.5</v>
      </c>
      <c r="I84" s="45">
        <v>3470.4</v>
      </c>
      <c r="J84" s="46">
        <v>7.4844999999999997</v>
      </c>
      <c r="K84" s="34"/>
      <c r="L84" s="63">
        <v>0.17568</v>
      </c>
      <c r="M84" s="45">
        <v>3116.9</v>
      </c>
      <c r="N84" s="45">
        <v>3468.2</v>
      </c>
      <c r="O84" s="46">
        <v>7.4337</v>
      </c>
    </row>
    <row r="85" spans="1:15" x14ac:dyDescent="0.35">
      <c r="A85" s="49">
        <v>600</v>
      </c>
      <c r="B85" s="63">
        <v>0.24998999999999999</v>
      </c>
      <c r="C85" s="45">
        <v>3293.9</v>
      </c>
      <c r="D85" s="45">
        <v>3693.9</v>
      </c>
      <c r="E85" s="46">
        <v>7.81</v>
      </c>
      <c r="F85" s="34"/>
      <c r="G85" s="63">
        <v>0.222</v>
      </c>
      <c r="H85" s="45">
        <v>3292.7</v>
      </c>
      <c r="I85" s="45">
        <v>3692.3</v>
      </c>
      <c r="J85" s="46">
        <v>7.7542999999999997</v>
      </c>
      <c r="K85" s="34"/>
      <c r="L85" s="63">
        <v>0.19961000000000001</v>
      </c>
      <c r="M85" s="45">
        <v>3291.5</v>
      </c>
      <c r="N85" s="45">
        <v>3690.7</v>
      </c>
      <c r="O85" s="46">
        <v>7.7042999999999999</v>
      </c>
    </row>
    <row r="86" spans="1:15" x14ac:dyDescent="0.35">
      <c r="A86" s="49">
        <v>700</v>
      </c>
      <c r="B86" s="63">
        <v>0.27939999999999998</v>
      </c>
      <c r="C86" s="45">
        <v>3473.5</v>
      </c>
      <c r="D86" s="45">
        <v>3920.5</v>
      </c>
      <c r="E86" s="46">
        <v>8.0556999999999999</v>
      </c>
      <c r="F86" s="34"/>
      <c r="G86" s="63">
        <v>0.24820999999999999</v>
      </c>
      <c r="H86" s="45">
        <v>3472.6</v>
      </c>
      <c r="I86" s="45">
        <v>3919.4</v>
      </c>
      <c r="J86" s="46">
        <v>8.0004000000000008</v>
      </c>
      <c r="K86" s="34"/>
      <c r="L86" s="63">
        <v>0.22325999999999999</v>
      </c>
      <c r="M86" s="45">
        <v>3471.6</v>
      </c>
      <c r="N86" s="45">
        <v>3918.2</v>
      </c>
      <c r="O86" s="46">
        <v>7.9508999999999999</v>
      </c>
    </row>
    <row r="87" spans="1:15" x14ac:dyDescent="0.35">
      <c r="A87" s="49">
        <v>800</v>
      </c>
      <c r="B87" s="63">
        <v>0.30864999999999998</v>
      </c>
      <c r="C87" s="45">
        <v>3659.5</v>
      </c>
      <c r="D87" s="45">
        <v>4153.3</v>
      </c>
      <c r="E87" s="46">
        <v>8.2834000000000003</v>
      </c>
      <c r="F87" s="34"/>
      <c r="G87" s="63">
        <v>0.27426</v>
      </c>
      <c r="H87" s="45">
        <v>3658.8</v>
      </c>
      <c r="I87" s="45">
        <v>4152.3999999999996</v>
      </c>
      <c r="J87" s="46">
        <v>8.2284000000000006</v>
      </c>
      <c r="K87" s="34"/>
      <c r="L87" s="63">
        <v>0.24673999999999999</v>
      </c>
      <c r="M87" s="45">
        <v>3658</v>
      </c>
      <c r="N87" s="45">
        <v>4151.5</v>
      </c>
      <c r="O87" s="46">
        <v>8.1790000000000003</v>
      </c>
    </row>
    <row r="88" spans="1:15" x14ac:dyDescent="0.35">
      <c r="A88" s="49">
        <v>900</v>
      </c>
      <c r="B88" s="63">
        <v>0.33779999999999999</v>
      </c>
      <c r="C88" s="45">
        <v>3852.1</v>
      </c>
      <c r="D88" s="45">
        <v>4392.6000000000004</v>
      </c>
      <c r="E88" s="46">
        <v>8.4964999999999993</v>
      </c>
      <c r="F88" s="34"/>
      <c r="G88" s="63">
        <v>0.30020000000000002</v>
      </c>
      <c r="H88" s="45">
        <v>3851.5</v>
      </c>
      <c r="I88" s="45">
        <v>4391.8999999999996</v>
      </c>
      <c r="J88" s="46">
        <v>8.4415999999999993</v>
      </c>
      <c r="K88" s="34"/>
      <c r="L88" s="63">
        <v>0.27012000000000003</v>
      </c>
      <c r="M88" s="45">
        <v>3850.9</v>
      </c>
      <c r="N88" s="45">
        <v>4391.1000000000004</v>
      </c>
      <c r="O88" s="46">
        <v>8.3925000000000001</v>
      </c>
    </row>
    <row r="89" spans="1:15" x14ac:dyDescent="0.35">
      <c r="A89" s="49">
        <v>1000</v>
      </c>
      <c r="B89" s="63">
        <v>0.36686999999999997</v>
      </c>
      <c r="C89" s="45">
        <v>4051.2</v>
      </c>
      <c r="D89" s="45">
        <v>4638.2</v>
      </c>
      <c r="E89" s="46">
        <v>8.6974</v>
      </c>
      <c r="F89" s="34"/>
      <c r="G89" s="63">
        <v>0.32606000000000002</v>
      </c>
      <c r="H89" s="45">
        <v>4050.7</v>
      </c>
      <c r="I89" s="45">
        <v>4637.6000000000004</v>
      </c>
      <c r="J89" s="46">
        <v>8.6425999999999998</v>
      </c>
      <c r="K89" s="34"/>
      <c r="L89" s="63">
        <v>0.29342000000000001</v>
      </c>
      <c r="M89" s="45">
        <v>4050.2</v>
      </c>
      <c r="N89" s="45">
        <v>4637</v>
      </c>
      <c r="O89" s="46">
        <v>8.5936000000000003</v>
      </c>
    </row>
    <row r="91" spans="1:15" x14ac:dyDescent="0.35">
      <c r="A91" s="37"/>
      <c r="B91" s="64" t="s">
        <v>283</v>
      </c>
      <c r="C91" s="53"/>
      <c r="D91" s="51"/>
      <c r="E91" s="52"/>
      <c r="F91" s="34"/>
      <c r="H91" s="50" t="s">
        <v>284</v>
      </c>
      <c r="I91" s="51"/>
      <c r="J91" s="52"/>
      <c r="K91" s="34"/>
      <c r="M91" s="50" t="s">
        <v>285</v>
      </c>
      <c r="N91" s="51"/>
      <c r="O91" s="52"/>
    </row>
    <row r="92" spans="1:15" x14ac:dyDescent="0.35">
      <c r="A92" s="47" t="s">
        <v>251</v>
      </c>
      <c r="B92" s="61" t="s">
        <v>262</v>
      </c>
      <c r="C92" s="39" t="s">
        <v>263</v>
      </c>
      <c r="D92" s="39" t="s">
        <v>264</v>
      </c>
      <c r="E92" s="40" t="s">
        <v>265</v>
      </c>
      <c r="F92" s="34"/>
      <c r="G92" s="61" t="s">
        <v>262</v>
      </c>
      <c r="H92" s="39" t="s">
        <v>263</v>
      </c>
      <c r="I92" s="39" t="s">
        <v>264</v>
      </c>
      <c r="J92" s="40" t="s">
        <v>265</v>
      </c>
      <c r="K92" s="34"/>
      <c r="L92" s="61" t="s">
        <v>262</v>
      </c>
      <c r="M92" s="39" t="s">
        <v>263</v>
      </c>
      <c r="N92" s="39" t="s">
        <v>264</v>
      </c>
      <c r="O92" s="40" t="s">
        <v>265</v>
      </c>
    </row>
    <row r="93" spans="1:15" x14ac:dyDescent="0.35">
      <c r="A93" s="48" t="s">
        <v>252</v>
      </c>
      <c r="B93" s="62" t="s">
        <v>266</v>
      </c>
      <c r="C93" s="42" t="s">
        <v>267</v>
      </c>
      <c r="D93" s="42" t="s">
        <v>268</v>
      </c>
      <c r="E93" s="43" t="s">
        <v>269</v>
      </c>
      <c r="F93" s="34"/>
      <c r="G93" s="62" t="s">
        <v>266</v>
      </c>
      <c r="H93" s="42" t="s">
        <v>267</v>
      </c>
      <c r="I93" s="42" t="s">
        <v>268</v>
      </c>
      <c r="J93" s="43" t="s">
        <v>269</v>
      </c>
      <c r="K93" s="34"/>
      <c r="L93" s="62" t="s">
        <v>266</v>
      </c>
      <c r="M93" s="42" t="s">
        <v>267</v>
      </c>
      <c r="N93" s="42" t="s">
        <v>268</v>
      </c>
      <c r="O93" s="43" t="s">
        <v>269</v>
      </c>
    </row>
    <row r="94" spans="1:15" x14ac:dyDescent="0.35">
      <c r="A94" s="47" t="s">
        <v>270</v>
      </c>
      <c r="B94" s="63">
        <v>7.9949000000000006E-2</v>
      </c>
      <c r="C94" s="45">
        <v>2602.1</v>
      </c>
      <c r="D94" s="45">
        <v>2801.9</v>
      </c>
      <c r="E94" s="46">
        <v>6.2557999999999998</v>
      </c>
      <c r="F94" s="34"/>
      <c r="G94" s="63">
        <v>6.6664000000000001E-2</v>
      </c>
      <c r="H94" s="45">
        <v>2603.1999999999998</v>
      </c>
      <c r="I94" s="45">
        <v>2803.2</v>
      </c>
      <c r="J94" s="46">
        <v>6.1856</v>
      </c>
      <c r="K94" s="34"/>
      <c r="L94" s="63">
        <v>5.7057999999999998E-2</v>
      </c>
      <c r="M94" s="45">
        <v>2602.9</v>
      </c>
      <c r="N94" s="45">
        <v>2802.6</v>
      </c>
      <c r="O94" s="46">
        <v>6.1242999999999999</v>
      </c>
    </row>
    <row r="95" spans="1:15" x14ac:dyDescent="0.35">
      <c r="A95" s="49">
        <v>250</v>
      </c>
      <c r="B95" s="63">
        <v>8.7053000000000005E-2</v>
      </c>
      <c r="C95" s="45">
        <v>2663.3</v>
      </c>
      <c r="D95" s="45">
        <v>2880.9</v>
      </c>
      <c r="E95" s="46">
        <v>6.4107000000000003</v>
      </c>
      <c r="F95" s="34"/>
      <c r="G95" s="63">
        <v>7.0626999999999995E-2</v>
      </c>
      <c r="H95" s="45">
        <v>2644.7</v>
      </c>
      <c r="I95" s="45">
        <v>2856.5</v>
      </c>
      <c r="J95" s="46">
        <v>6.2892999999999999</v>
      </c>
      <c r="K95" s="34"/>
      <c r="L95" s="63">
        <v>5.8756999999999997E-2</v>
      </c>
      <c r="M95" s="45">
        <v>2624</v>
      </c>
      <c r="N95" s="45">
        <v>2829.7</v>
      </c>
      <c r="O95" s="46">
        <v>6.1764000000000001</v>
      </c>
    </row>
    <row r="96" spans="1:15" x14ac:dyDescent="0.35">
      <c r="A96" s="49">
        <v>300</v>
      </c>
      <c r="B96" s="63">
        <v>9.8936999999999997E-2</v>
      </c>
      <c r="C96" s="45">
        <v>2762.2</v>
      </c>
      <c r="D96" s="45">
        <v>3009.6</v>
      </c>
      <c r="E96" s="46">
        <v>6.6459000000000001</v>
      </c>
      <c r="F96" s="34"/>
      <c r="G96" s="63">
        <v>8.1179000000000001E-2</v>
      </c>
      <c r="H96" s="45">
        <v>2750.8</v>
      </c>
      <c r="I96" s="45">
        <v>2994.3</v>
      </c>
      <c r="J96" s="46">
        <v>6.5411999999999999</v>
      </c>
      <c r="K96" s="34"/>
      <c r="L96" s="63">
        <v>6.8453E-2</v>
      </c>
      <c r="M96" s="45">
        <v>2738.8</v>
      </c>
      <c r="N96" s="45">
        <v>2978.4</v>
      </c>
      <c r="O96" s="46">
        <v>6.4484000000000004</v>
      </c>
    </row>
    <row r="97" spans="1:15" x14ac:dyDescent="0.35">
      <c r="A97" s="49">
        <v>350</v>
      </c>
      <c r="B97" s="63">
        <v>0.10979</v>
      </c>
      <c r="C97" s="45">
        <v>2852.5</v>
      </c>
      <c r="D97" s="45">
        <v>3127</v>
      </c>
      <c r="E97" s="46">
        <v>6.8423999999999996</v>
      </c>
      <c r="F97" s="34"/>
      <c r="G97" s="63">
        <v>9.0555999999999998E-2</v>
      </c>
      <c r="H97" s="45">
        <v>2844.4</v>
      </c>
      <c r="I97" s="45">
        <v>3116.1</v>
      </c>
      <c r="J97" s="46">
        <v>6.7449000000000003</v>
      </c>
      <c r="K97" s="34"/>
      <c r="L97" s="63">
        <v>7.6803999999999997E-2</v>
      </c>
      <c r="M97" s="45">
        <v>2836</v>
      </c>
      <c r="N97" s="45">
        <v>3104.8</v>
      </c>
      <c r="O97" s="46">
        <v>6.6600999999999999</v>
      </c>
    </row>
    <row r="98" spans="1:15" x14ac:dyDescent="0.35">
      <c r="A98" s="49">
        <v>400</v>
      </c>
      <c r="B98" s="63">
        <v>0.12012</v>
      </c>
      <c r="C98" s="45">
        <v>2939.8</v>
      </c>
      <c r="D98" s="45">
        <v>3240.1</v>
      </c>
      <c r="E98" s="46">
        <v>7.0170000000000003</v>
      </c>
      <c r="F98" s="34"/>
      <c r="G98" s="63">
        <v>9.9378999999999995E-2</v>
      </c>
      <c r="H98" s="45">
        <v>2933.5</v>
      </c>
      <c r="I98" s="45">
        <v>3231.7</v>
      </c>
      <c r="J98" s="46">
        <v>6.9234</v>
      </c>
      <c r="K98" s="34"/>
      <c r="L98" s="63">
        <v>8.4556000000000006E-2</v>
      </c>
      <c r="M98" s="45">
        <v>2927.2</v>
      </c>
      <c r="N98" s="45">
        <v>3223.2</v>
      </c>
      <c r="O98" s="46">
        <v>6.8426999999999998</v>
      </c>
    </row>
    <row r="99" spans="1:15" x14ac:dyDescent="0.35">
      <c r="A99" s="49">
        <v>450</v>
      </c>
      <c r="B99" s="63">
        <v>0.13014999999999999</v>
      </c>
      <c r="C99" s="45">
        <v>3026.2</v>
      </c>
      <c r="D99" s="45">
        <v>3351.6</v>
      </c>
      <c r="E99" s="46">
        <v>7.1767000000000003</v>
      </c>
      <c r="F99" s="34"/>
      <c r="G99" s="63">
        <v>0.10789</v>
      </c>
      <c r="H99" s="45">
        <v>3021.2</v>
      </c>
      <c r="I99" s="45">
        <v>3344.8</v>
      </c>
      <c r="J99" s="46">
        <v>7.0856000000000003</v>
      </c>
      <c r="K99" s="34"/>
      <c r="L99" s="63">
        <v>9.1978000000000004E-2</v>
      </c>
      <c r="M99" s="45">
        <v>3016.1</v>
      </c>
      <c r="N99" s="45">
        <v>3338</v>
      </c>
      <c r="O99" s="46">
        <v>7.0073999999999996</v>
      </c>
    </row>
    <row r="100" spans="1:15" x14ac:dyDescent="0.35">
      <c r="A100" s="49">
        <v>500</v>
      </c>
      <c r="B100" s="63">
        <v>0.13999</v>
      </c>
      <c r="C100" s="45">
        <v>3112.8</v>
      </c>
      <c r="D100" s="45">
        <v>3462.7</v>
      </c>
      <c r="E100" s="46">
        <v>7.3254000000000001</v>
      </c>
      <c r="F100" s="34"/>
      <c r="G100" s="63">
        <v>0.1162</v>
      </c>
      <c r="H100" s="45">
        <v>3108.6</v>
      </c>
      <c r="I100" s="45">
        <v>3457.2</v>
      </c>
      <c r="J100" s="46">
        <v>7.2359</v>
      </c>
      <c r="K100" s="34"/>
      <c r="L100" s="63">
        <v>9.9195000000000005E-2</v>
      </c>
      <c r="M100" s="45">
        <v>3104.5</v>
      </c>
      <c r="N100" s="45">
        <v>3451.6</v>
      </c>
      <c r="O100" s="46">
        <v>7.1593</v>
      </c>
    </row>
    <row r="101" spans="1:15" x14ac:dyDescent="0.35">
      <c r="A101" s="49">
        <v>600</v>
      </c>
      <c r="B101" s="63">
        <v>0.15931000000000001</v>
      </c>
      <c r="C101" s="45">
        <v>3288.5</v>
      </c>
      <c r="D101" s="45">
        <v>3686.8</v>
      </c>
      <c r="E101" s="46">
        <v>7.5979000000000001</v>
      </c>
      <c r="F101" s="34"/>
      <c r="G101" s="63">
        <v>0.13245000000000001</v>
      </c>
      <c r="H101" s="45">
        <v>3285.5</v>
      </c>
      <c r="I101" s="45">
        <v>3682.8</v>
      </c>
      <c r="J101" s="46">
        <v>7.5103</v>
      </c>
      <c r="K101" s="34"/>
      <c r="L101" s="63">
        <v>0.11325</v>
      </c>
      <c r="M101" s="45">
        <v>3282.5</v>
      </c>
      <c r="N101" s="45">
        <v>3678.9</v>
      </c>
      <c r="O101" s="46">
        <v>7.4356</v>
      </c>
    </row>
    <row r="102" spans="1:15" x14ac:dyDescent="0.35">
      <c r="A102" s="49">
        <v>700</v>
      </c>
      <c r="B102" s="63">
        <v>0.17835000000000001</v>
      </c>
      <c r="C102" s="45">
        <v>3469.3</v>
      </c>
      <c r="D102" s="45">
        <v>3915.2</v>
      </c>
      <c r="E102" s="46">
        <v>7.8455000000000004</v>
      </c>
      <c r="F102" s="34"/>
      <c r="G102" s="63">
        <v>0.14840999999999999</v>
      </c>
      <c r="H102" s="45">
        <v>3467</v>
      </c>
      <c r="I102" s="45">
        <v>3912.2</v>
      </c>
      <c r="J102" s="46">
        <v>7.7590000000000003</v>
      </c>
      <c r="K102" s="34"/>
      <c r="L102" s="63">
        <v>0.12701999999999999</v>
      </c>
      <c r="M102" s="45">
        <v>3464.7</v>
      </c>
      <c r="N102" s="45">
        <v>3909.3</v>
      </c>
      <c r="O102" s="46">
        <v>7.6853999999999996</v>
      </c>
    </row>
    <row r="103" spans="1:15" x14ac:dyDescent="0.35">
      <c r="A103" s="49">
        <v>800</v>
      </c>
      <c r="B103" s="63">
        <v>0.19721</v>
      </c>
      <c r="C103" s="45">
        <v>3656.2</v>
      </c>
      <c r="D103" s="45">
        <v>4149.2</v>
      </c>
      <c r="E103" s="46">
        <v>8.0742999999999991</v>
      </c>
      <c r="F103" s="34"/>
      <c r="G103" s="63">
        <v>0.16420000000000001</v>
      </c>
      <c r="H103" s="45">
        <v>3654.3</v>
      </c>
      <c r="I103" s="45">
        <v>4146.8999999999996</v>
      </c>
      <c r="J103" s="46">
        <v>7.9885000000000002</v>
      </c>
      <c r="K103" s="34"/>
      <c r="L103" s="63">
        <v>0.14061000000000001</v>
      </c>
      <c r="M103" s="45">
        <v>3652.5</v>
      </c>
      <c r="N103" s="45">
        <v>4144.6000000000004</v>
      </c>
      <c r="O103" s="46">
        <v>7.9156000000000004</v>
      </c>
    </row>
    <row r="104" spans="1:15" x14ac:dyDescent="0.35">
      <c r="A104" s="49">
        <v>900</v>
      </c>
      <c r="B104" s="63">
        <v>0.21597</v>
      </c>
      <c r="C104" s="45">
        <v>3849.4</v>
      </c>
      <c r="D104" s="45">
        <v>4389.3</v>
      </c>
      <c r="E104" s="46">
        <v>8.2881999999999998</v>
      </c>
      <c r="F104" s="34"/>
      <c r="G104" s="63">
        <v>0.17988000000000001</v>
      </c>
      <c r="H104" s="45">
        <v>3847.9</v>
      </c>
      <c r="I104" s="45">
        <v>4387.5</v>
      </c>
      <c r="J104" s="46">
        <v>8.2027999999999999</v>
      </c>
      <c r="K104" s="34"/>
      <c r="L104" s="63">
        <v>0.15409999999999999</v>
      </c>
      <c r="M104" s="45">
        <v>3846.4</v>
      </c>
      <c r="N104" s="45">
        <v>4385.7</v>
      </c>
      <c r="O104" s="46">
        <v>8.1303000000000001</v>
      </c>
    </row>
    <row r="105" spans="1:15" x14ac:dyDescent="0.35">
      <c r="A105" s="49">
        <v>1000</v>
      </c>
      <c r="B105" s="63">
        <v>0.23466000000000001</v>
      </c>
      <c r="C105" s="45">
        <v>4048.9</v>
      </c>
      <c r="D105" s="45">
        <v>4635.6000000000004</v>
      </c>
      <c r="E105" s="46">
        <v>8.4895999999999994</v>
      </c>
      <c r="F105" s="34"/>
      <c r="G105" s="63">
        <v>0.19549</v>
      </c>
      <c r="H105" s="45">
        <v>4047.7</v>
      </c>
      <c r="I105" s="45">
        <v>4634.1000000000004</v>
      </c>
      <c r="J105" s="46">
        <v>8.4045000000000005</v>
      </c>
      <c r="K105" s="34"/>
      <c r="L105" s="63">
        <v>0.16750999999999999</v>
      </c>
      <c r="M105" s="45">
        <v>4046.4</v>
      </c>
      <c r="N105" s="45">
        <v>4632.7</v>
      </c>
      <c r="O105" s="46">
        <v>8.3323999999999998</v>
      </c>
    </row>
    <row r="107" spans="1:15" x14ac:dyDescent="0.35">
      <c r="A107" s="37"/>
      <c r="B107" s="64" t="s">
        <v>286</v>
      </c>
      <c r="C107" s="53"/>
      <c r="D107" s="51"/>
      <c r="E107" s="52"/>
      <c r="F107" s="34"/>
      <c r="H107" s="50" t="s">
        <v>287</v>
      </c>
      <c r="I107" s="51"/>
      <c r="J107" s="52"/>
      <c r="K107" s="34"/>
      <c r="M107" s="50" t="s">
        <v>288</v>
      </c>
      <c r="N107" s="51"/>
      <c r="O107" s="52"/>
    </row>
    <row r="108" spans="1:15" x14ac:dyDescent="0.35">
      <c r="A108" s="47" t="s">
        <v>251</v>
      </c>
      <c r="B108" s="61" t="s">
        <v>262</v>
      </c>
      <c r="C108" s="39" t="s">
        <v>263</v>
      </c>
      <c r="D108" s="39" t="s">
        <v>264</v>
      </c>
      <c r="E108" s="40" t="s">
        <v>265</v>
      </c>
      <c r="F108" s="34"/>
      <c r="G108" s="61" t="s">
        <v>262</v>
      </c>
      <c r="H108" s="39" t="s">
        <v>263</v>
      </c>
      <c r="I108" s="39" t="s">
        <v>264</v>
      </c>
      <c r="J108" s="40" t="s">
        <v>265</v>
      </c>
      <c r="K108" s="34"/>
      <c r="L108" s="61" t="s">
        <v>262</v>
      </c>
      <c r="M108" s="39" t="s">
        <v>263</v>
      </c>
      <c r="N108" s="39" t="s">
        <v>264</v>
      </c>
      <c r="O108" s="40" t="s">
        <v>265</v>
      </c>
    </row>
    <row r="109" spans="1:15" x14ac:dyDescent="0.35">
      <c r="A109" s="48" t="s">
        <v>252</v>
      </c>
      <c r="B109" s="62" t="s">
        <v>266</v>
      </c>
      <c r="C109" s="42" t="s">
        <v>267</v>
      </c>
      <c r="D109" s="42" t="s">
        <v>268</v>
      </c>
      <c r="E109" s="43" t="s">
        <v>269</v>
      </c>
      <c r="F109" s="34"/>
      <c r="G109" s="62" t="s">
        <v>266</v>
      </c>
      <c r="H109" s="42" t="s">
        <v>267</v>
      </c>
      <c r="I109" s="42" t="s">
        <v>268</v>
      </c>
      <c r="J109" s="43" t="s">
        <v>269</v>
      </c>
      <c r="K109" s="34"/>
      <c r="L109" s="62" t="s">
        <v>266</v>
      </c>
      <c r="M109" s="42" t="s">
        <v>267</v>
      </c>
      <c r="N109" s="42" t="s">
        <v>268</v>
      </c>
      <c r="O109" s="43" t="s">
        <v>269</v>
      </c>
    </row>
    <row r="110" spans="1:15" x14ac:dyDescent="0.35">
      <c r="A110" s="47" t="s">
        <v>270</v>
      </c>
      <c r="B110" s="63">
        <v>4.9776000000000001E-2</v>
      </c>
      <c r="C110" s="45">
        <v>2601.6999999999998</v>
      </c>
      <c r="D110" s="45">
        <v>2800.8</v>
      </c>
      <c r="E110" s="46">
        <v>6.0696000000000003</v>
      </c>
      <c r="F110" s="34"/>
      <c r="G110" s="63">
        <v>4.4059000000000001E-2</v>
      </c>
      <c r="H110" s="45">
        <v>2599.6999999999998</v>
      </c>
      <c r="I110" s="45">
        <v>2797.9</v>
      </c>
      <c r="J110" s="46">
        <v>6.0197000000000003</v>
      </c>
      <c r="K110" s="34"/>
      <c r="L110" s="63">
        <v>3.9446000000000002E-2</v>
      </c>
      <c r="M110" s="45">
        <v>2597</v>
      </c>
      <c r="N110" s="45">
        <v>2794.2</v>
      </c>
      <c r="O110" s="46">
        <v>5.9737</v>
      </c>
    </row>
    <row r="111" spans="1:15" x14ac:dyDescent="0.35">
      <c r="A111" s="49">
        <v>275</v>
      </c>
      <c r="B111" s="63">
        <v>5.4607000000000003E-2</v>
      </c>
      <c r="C111" s="45">
        <v>2668.9</v>
      </c>
      <c r="D111" s="45">
        <v>2887.3</v>
      </c>
      <c r="E111" s="46">
        <v>6.2312000000000003</v>
      </c>
      <c r="F111" s="34"/>
      <c r="G111" s="63">
        <v>4.7333E-2</v>
      </c>
      <c r="H111" s="45">
        <v>2651.3</v>
      </c>
      <c r="I111" s="45">
        <v>2864.3</v>
      </c>
      <c r="J111" s="46">
        <v>6.1429</v>
      </c>
      <c r="K111" s="34"/>
      <c r="L111" s="63">
        <v>4.1438999999999997E-2</v>
      </c>
      <c r="M111" s="45">
        <v>2632.3</v>
      </c>
      <c r="N111" s="45">
        <v>2839.5</v>
      </c>
      <c r="O111" s="46">
        <v>6.0571000000000002</v>
      </c>
    </row>
    <row r="112" spans="1:15" x14ac:dyDescent="0.35">
      <c r="A112" s="49">
        <v>300</v>
      </c>
      <c r="B112" s="63">
        <v>5.8869999999999999E-2</v>
      </c>
      <c r="C112" s="45">
        <v>2726.2</v>
      </c>
      <c r="D112" s="45">
        <v>2961.7</v>
      </c>
      <c r="E112" s="46">
        <v>6.3639000000000001</v>
      </c>
      <c r="F112" s="34"/>
      <c r="G112" s="63">
        <v>5.1378E-2</v>
      </c>
      <c r="H112" s="45">
        <v>2713</v>
      </c>
      <c r="I112" s="45">
        <v>2944.2</v>
      </c>
      <c r="J112" s="46">
        <v>6.2854000000000001</v>
      </c>
      <c r="K112" s="34"/>
      <c r="L112" s="63">
        <v>4.5345999999999997E-2</v>
      </c>
      <c r="M112" s="45">
        <v>2699</v>
      </c>
      <c r="N112" s="45">
        <v>2925.7</v>
      </c>
      <c r="O112" s="46">
        <v>6.2110000000000003</v>
      </c>
    </row>
    <row r="113" spans="1:15" x14ac:dyDescent="0.35">
      <c r="A113" s="49">
        <v>350</v>
      </c>
      <c r="B113" s="63">
        <v>6.6473000000000004E-2</v>
      </c>
      <c r="C113" s="45">
        <v>2827.4</v>
      </c>
      <c r="D113" s="45">
        <v>3093.3</v>
      </c>
      <c r="E113" s="46">
        <v>6.5842999999999998</v>
      </c>
      <c r="F113" s="34"/>
      <c r="G113" s="63">
        <v>5.8423000000000003E-2</v>
      </c>
      <c r="H113" s="45">
        <v>2818.6</v>
      </c>
      <c r="I113" s="45">
        <v>3081.5</v>
      </c>
      <c r="J113" s="46">
        <v>6.5152999999999999</v>
      </c>
      <c r="K113" s="34"/>
      <c r="L113" s="63">
        <v>5.1969000000000001E-2</v>
      </c>
      <c r="M113" s="45">
        <v>2809.5</v>
      </c>
      <c r="N113" s="45">
        <v>3069.3</v>
      </c>
      <c r="O113" s="46">
        <v>6.4516</v>
      </c>
    </row>
    <row r="114" spans="1:15" x14ac:dyDescent="0.35">
      <c r="A114" s="49">
        <v>400</v>
      </c>
      <c r="B114" s="63">
        <v>7.3430999999999996E-2</v>
      </c>
      <c r="C114" s="45">
        <v>2920.7</v>
      </c>
      <c r="D114" s="45">
        <v>3214.5</v>
      </c>
      <c r="E114" s="46">
        <v>6.7713999999999999</v>
      </c>
      <c r="F114" s="34"/>
      <c r="G114" s="63">
        <v>6.4771999999999996E-2</v>
      </c>
      <c r="H114" s="45">
        <v>2914.2</v>
      </c>
      <c r="I114" s="45">
        <v>3205.6</v>
      </c>
      <c r="J114" s="46">
        <v>6.7069999999999999</v>
      </c>
      <c r="K114" s="34"/>
      <c r="L114" s="63">
        <v>5.7837E-2</v>
      </c>
      <c r="M114" s="45">
        <v>2907.5</v>
      </c>
      <c r="N114" s="45">
        <v>3196.7</v>
      </c>
      <c r="O114" s="46">
        <v>6.6482999999999999</v>
      </c>
    </row>
    <row r="115" spans="1:15" x14ac:dyDescent="0.35">
      <c r="A115" s="49">
        <v>450</v>
      </c>
      <c r="B115" s="63">
        <v>8.0043000000000003E-2</v>
      </c>
      <c r="C115" s="45">
        <v>3011</v>
      </c>
      <c r="D115" s="45">
        <v>3331.2</v>
      </c>
      <c r="E115" s="46">
        <v>6.9386000000000001</v>
      </c>
      <c r="F115" s="34"/>
      <c r="G115" s="63">
        <v>7.0755999999999999E-2</v>
      </c>
      <c r="H115" s="45">
        <v>3005.8</v>
      </c>
      <c r="I115" s="45">
        <v>3324.2</v>
      </c>
      <c r="J115" s="46">
        <v>6.8769999999999998</v>
      </c>
      <c r="K115" s="34"/>
      <c r="L115" s="63">
        <v>6.3323000000000004E-2</v>
      </c>
      <c r="M115" s="45">
        <v>3000.6</v>
      </c>
      <c r="N115" s="45">
        <v>3317.2</v>
      </c>
      <c r="O115" s="46">
        <v>6.8209999999999997</v>
      </c>
    </row>
    <row r="116" spans="1:15" x14ac:dyDescent="0.35">
      <c r="A116" s="49">
        <v>500</v>
      </c>
      <c r="B116" s="63">
        <v>8.6442000000000005E-2</v>
      </c>
      <c r="C116" s="45">
        <v>3100.3</v>
      </c>
      <c r="D116" s="45">
        <v>3446</v>
      </c>
      <c r="E116" s="46">
        <v>7.0922000000000001</v>
      </c>
      <c r="F116" s="34"/>
      <c r="G116" s="63">
        <v>7.6521000000000006E-2</v>
      </c>
      <c r="H116" s="45">
        <v>3096</v>
      </c>
      <c r="I116" s="45">
        <v>3440.4</v>
      </c>
      <c r="J116" s="46">
        <v>7.0323000000000002</v>
      </c>
      <c r="K116" s="34"/>
      <c r="L116" s="63">
        <v>6.8583000000000005E-2</v>
      </c>
      <c r="M116" s="45">
        <v>3091.7</v>
      </c>
      <c r="N116" s="45">
        <v>3434.7</v>
      </c>
      <c r="O116" s="46">
        <v>6.9781000000000004</v>
      </c>
    </row>
    <row r="117" spans="1:15" x14ac:dyDescent="0.35">
      <c r="A117" s="49">
        <v>600</v>
      </c>
      <c r="B117" s="63">
        <v>9.8859000000000002E-2</v>
      </c>
      <c r="C117" s="45">
        <v>3279.4</v>
      </c>
      <c r="D117" s="45">
        <v>3674.9</v>
      </c>
      <c r="E117" s="46">
        <v>7.3704999999999998</v>
      </c>
      <c r="F117" s="34"/>
      <c r="G117" s="63">
        <v>8.7662000000000004E-2</v>
      </c>
      <c r="H117" s="45">
        <v>3276.4</v>
      </c>
      <c r="I117" s="45">
        <v>3670.9</v>
      </c>
      <c r="J117" s="46">
        <v>7.3127000000000004</v>
      </c>
      <c r="K117" s="34"/>
      <c r="L117" s="63">
        <v>7.8703999999999996E-2</v>
      </c>
      <c r="M117" s="45">
        <v>3273.3</v>
      </c>
      <c r="N117" s="45">
        <v>3666.8</v>
      </c>
      <c r="O117" s="46">
        <v>7.2605000000000004</v>
      </c>
    </row>
    <row r="118" spans="1:15" x14ac:dyDescent="0.35">
      <c r="A118" s="49">
        <v>700</v>
      </c>
      <c r="B118" s="63">
        <v>0.11098</v>
      </c>
      <c r="C118" s="45">
        <v>3462.4</v>
      </c>
      <c r="D118" s="45">
        <v>3906.3</v>
      </c>
      <c r="E118" s="46">
        <v>7.6214000000000004</v>
      </c>
      <c r="F118" s="34"/>
      <c r="G118" s="63">
        <v>9.8500000000000004E-2</v>
      </c>
      <c r="H118" s="45">
        <v>3460</v>
      </c>
      <c r="I118" s="45">
        <v>3903.3</v>
      </c>
      <c r="J118" s="46">
        <v>7.5646000000000004</v>
      </c>
      <c r="K118" s="34"/>
      <c r="L118" s="63">
        <v>8.8517999999999999E-2</v>
      </c>
      <c r="M118" s="45">
        <v>3457.7</v>
      </c>
      <c r="N118" s="45">
        <v>3900.3</v>
      </c>
      <c r="O118" s="46">
        <v>7.5136000000000003</v>
      </c>
    </row>
    <row r="119" spans="1:15" x14ac:dyDescent="0.35">
      <c r="A119" s="49">
        <v>800</v>
      </c>
      <c r="B119" s="63">
        <v>0.12292</v>
      </c>
      <c r="C119" s="45">
        <v>3650.6</v>
      </c>
      <c r="D119" s="45">
        <v>4142.3</v>
      </c>
      <c r="E119" s="46">
        <v>7.8522999999999996</v>
      </c>
      <c r="F119" s="34"/>
      <c r="G119" s="63">
        <v>0.10915999999999999</v>
      </c>
      <c r="H119" s="45">
        <v>3648.8</v>
      </c>
      <c r="I119" s="45">
        <v>4140</v>
      </c>
      <c r="J119" s="46">
        <v>7.7961999999999998</v>
      </c>
      <c r="K119" s="34"/>
      <c r="L119" s="63">
        <v>9.8157999999999995E-2</v>
      </c>
      <c r="M119" s="45">
        <v>3646.9</v>
      </c>
      <c r="N119" s="45">
        <v>4137.7</v>
      </c>
      <c r="O119" s="46">
        <v>7.7458</v>
      </c>
    </row>
    <row r="120" spans="1:15" x14ac:dyDescent="0.35">
      <c r="A120" s="49">
        <v>900</v>
      </c>
      <c r="B120" s="63">
        <v>0.13475999999999999</v>
      </c>
      <c r="C120" s="45">
        <v>3844.8</v>
      </c>
      <c r="D120" s="45">
        <v>4383.8999999999996</v>
      </c>
      <c r="E120" s="46">
        <v>8.0673999999999992</v>
      </c>
      <c r="F120" s="34"/>
      <c r="G120" s="63">
        <v>0.11971999999999999</v>
      </c>
      <c r="H120" s="45">
        <v>3843.3</v>
      </c>
      <c r="I120" s="45">
        <v>4382.1000000000004</v>
      </c>
      <c r="J120" s="46">
        <v>8.0117999999999991</v>
      </c>
      <c r="K120" s="34"/>
      <c r="L120" s="63">
        <v>0.10768999999999999</v>
      </c>
      <c r="M120" s="45">
        <v>3841.8</v>
      </c>
      <c r="N120" s="45">
        <v>4380.2</v>
      </c>
      <c r="O120" s="46">
        <v>7.9618000000000002</v>
      </c>
    </row>
    <row r="121" spans="1:15" x14ac:dyDescent="0.35">
      <c r="A121" s="49">
        <v>1000</v>
      </c>
      <c r="B121" s="63">
        <v>0.14652000000000001</v>
      </c>
      <c r="C121" s="45">
        <v>4045.1</v>
      </c>
      <c r="D121" s="45">
        <v>4631.2</v>
      </c>
      <c r="E121" s="46">
        <v>8.2697000000000003</v>
      </c>
      <c r="F121" s="34"/>
      <c r="G121" s="63">
        <v>0.13020000000000001</v>
      </c>
      <c r="H121" s="45">
        <v>4043.9</v>
      </c>
      <c r="I121" s="45">
        <v>4629.8</v>
      </c>
      <c r="J121" s="46">
        <v>8.2143999999999995</v>
      </c>
      <c r="K121" s="34"/>
      <c r="L121" s="63">
        <v>0.11715</v>
      </c>
      <c r="M121" s="45">
        <v>4042.6</v>
      </c>
      <c r="N121" s="45">
        <v>4628.3</v>
      </c>
      <c r="O121" s="46">
        <v>8.1647999999999996</v>
      </c>
    </row>
    <row r="123" spans="1:15" x14ac:dyDescent="0.35">
      <c r="A123" s="37"/>
      <c r="B123" s="64" t="s">
        <v>289</v>
      </c>
      <c r="C123" s="53"/>
      <c r="D123" s="51"/>
      <c r="E123" s="52"/>
      <c r="F123" s="34"/>
      <c r="H123" s="50" t="s">
        <v>290</v>
      </c>
      <c r="I123" s="51"/>
      <c r="J123" s="52"/>
      <c r="K123" s="34"/>
      <c r="M123" s="50" t="s">
        <v>291</v>
      </c>
      <c r="N123" s="51"/>
      <c r="O123" s="52"/>
    </row>
    <row r="124" spans="1:15" x14ac:dyDescent="0.35">
      <c r="A124" s="49" t="s">
        <v>251</v>
      </c>
      <c r="B124" s="61" t="s">
        <v>262</v>
      </c>
      <c r="C124" s="39" t="s">
        <v>263</v>
      </c>
      <c r="D124" s="39" t="s">
        <v>264</v>
      </c>
      <c r="E124" s="40" t="s">
        <v>265</v>
      </c>
      <c r="F124" s="34"/>
      <c r="G124" s="61" t="s">
        <v>262</v>
      </c>
      <c r="H124" s="39" t="s">
        <v>263</v>
      </c>
      <c r="I124" s="39" t="s">
        <v>264</v>
      </c>
      <c r="J124" s="40" t="s">
        <v>265</v>
      </c>
      <c r="K124" s="34"/>
      <c r="L124" s="61" t="s">
        <v>262</v>
      </c>
      <c r="M124" s="39" t="s">
        <v>263</v>
      </c>
      <c r="N124" s="39" t="s">
        <v>264</v>
      </c>
      <c r="O124" s="40" t="s">
        <v>265</v>
      </c>
    </row>
    <row r="125" spans="1:15" x14ac:dyDescent="0.35">
      <c r="A125" s="47" t="s">
        <v>252</v>
      </c>
      <c r="B125" s="62" t="s">
        <v>266</v>
      </c>
      <c r="C125" s="42" t="s">
        <v>267</v>
      </c>
      <c r="D125" s="42" t="s">
        <v>268</v>
      </c>
      <c r="E125" s="43" t="s">
        <v>269</v>
      </c>
      <c r="F125" s="34"/>
      <c r="G125" s="62" t="s">
        <v>266</v>
      </c>
      <c r="H125" s="42" t="s">
        <v>267</v>
      </c>
      <c r="I125" s="42" t="s">
        <v>268</v>
      </c>
      <c r="J125" s="43" t="s">
        <v>269</v>
      </c>
      <c r="K125" s="34"/>
      <c r="L125" s="62" t="s">
        <v>266</v>
      </c>
      <c r="M125" s="42" t="s">
        <v>267</v>
      </c>
      <c r="N125" s="42" t="s">
        <v>268</v>
      </c>
      <c r="O125" s="43" t="s">
        <v>269</v>
      </c>
    </row>
    <row r="126" spans="1:15" x14ac:dyDescent="0.35">
      <c r="A126" s="48" t="s">
        <v>270</v>
      </c>
      <c r="B126" s="63">
        <v>3.2447999999999998E-2</v>
      </c>
      <c r="C126" s="45">
        <v>2589.9</v>
      </c>
      <c r="D126" s="45">
        <v>2784.6</v>
      </c>
      <c r="E126" s="46">
        <v>5.8901000000000003</v>
      </c>
      <c r="F126" s="34"/>
      <c r="G126" s="63">
        <v>2.7378E-2</v>
      </c>
      <c r="H126" s="45">
        <v>2581</v>
      </c>
      <c r="I126" s="45">
        <v>2772.6</v>
      </c>
      <c r="J126" s="46">
        <v>5.8148</v>
      </c>
      <c r="K126" s="34"/>
      <c r="L126" s="63">
        <v>2.3525999999999998E-2</v>
      </c>
      <c r="M126" s="45">
        <v>2570.5</v>
      </c>
      <c r="N126" s="45">
        <v>2758.7</v>
      </c>
      <c r="O126" s="46">
        <v>5.7450000000000001</v>
      </c>
    </row>
    <row r="127" spans="1:15" x14ac:dyDescent="0.35">
      <c r="A127" s="47">
        <v>300</v>
      </c>
      <c r="B127" s="63">
        <v>3.6188999999999999E-2</v>
      </c>
      <c r="C127" s="45">
        <v>2668.4</v>
      </c>
      <c r="D127" s="45">
        <v>2885.5</v>
      </c>
      <c r="E127" s="46">
        <v>6.0702999999999996</v>
      </c>
      <c r="F127" s="34"/>
      <c r="G127" s="63">
        <v>2.9492000000000001E-2</v>
      </c>
      <c r="H127" s="45">
        <v>2633.5</v>
      </c>
      <c r="I127" s="45">
        <v>2839.9</v>
      </c>
      <c r="J127" s="46">
        <v>5.9337</v>
      </c>
      <c r="K127" s="34"/>
      <c r="L127" s="63">
        <v>2.4278999999999998E-2</v>
      </c>
      <c r="M127" s="45">
        <v>2592.3000000000002</v>
      </c>
      <c r="N127" s="45">
        <v>2786.5</v>
      </c>
      <c r="O127" s="46">
        <v>5.7937000000000003</v>
      </c>
    </row>
    <row r="128" spans="1:15" x14ac:dyDescent="0.35">
      <c r="A128" s="49">
        <v>350</v>
      </c>
      <c r="B128" s="63">
        <v>4.2250999999999997E-2</v>
      </c>
      <c r="C128" s="45">
        <v>2790.4</v>
      </c>
      <c r="D128" s="45">
        <v>3043.9</v>
      </c>
      <c r="E128" s="46">
        <v>6.3357000000000001</v>
      </c>
      <c r="F128" s="34"/>
      <c r="G128" s="63">
        <v>3.5262000000000002E-2</v>
      </c>
      <c r="H128" s="45">
        <v>2770.1</v>
      </c>
      <c r="I128" s="45">
        <v>3016.9</v>
      </c>
      <c r="J128" s="46">
        <v>6.2304000000000004</v>
      </c>
      <c r="K128" s="34"/>
      <c r="L128" s="63">
        <v>2.9975000000000002E-2</v>
      </c>
      <c r="M128" s="45">
        <v>2748.3</v>
      </c>
      <c r="N128" s="45">
        <v>2988.1</v>
      </c>
      <c r="O128" s="46">
        <v>6.1321000000000003</v>
      </c>
    </row>
    <row r="129" spans="1:15" x14ac:dyDescent="0.35">
      <c r="A129" s="49">
        <v>400</v>
      </c>
      <c r="B129" s="63">
        <v>4.7419000000000003E-2</v>
      </c>
      <c r="C129" s="45">
        <v>2893.7</v>
      </c>
      <c r="D129" s="45">
        <v>3178.2</v>
      </c>
      <c r="E129" s="46">
        <v>6.5431999999999997</v>
      </c>
      <c r="F129" s="34"/>
      <c r="G129" s="63">
        <v>3.9958E-2</v>
      </c>
      <c r="H129" s="45">
        <v>2879.5</v>
      </c>
      <c r="I129" s="45">
        <v>3159.2</v>
      </c>
      <c r="J129" s="46">
        <v>6.4501999999999997</v>
      </c>
      <c r="K129" s="34"/>
      <c r="L129" s="63">
        <v>3.4344E-2</v>
      </c>
      <c r="M129" s="45">
        <v>2864.6</v>
      </c>
      <c r="N129" s="45">
        <v>3139.4</v>
      </c>
      <c r="O129" s="46">
        <v>6.3658000000000001</v>
      </c>
    </row>
    <row r="130" spans="1:15" x14ac:dyDescent="0.35">
      <c r="A130" s="49">
        <v>450</v>
      </c>
      <c r="B130" s="63">
        <v>5.2165999999999997E-2</v>
      </c>
      <c r="C130" s="45">
        <v>2989.9</v>
      </c>
      <c r="D130" s="45">
        <v>3302.9</v>
      </c>
      <c r="E130" s="46">
        <v>6.7218999999999998</v>
      </c>
      <c r="F130" s="34"/>
      <c r="G130" s="63">
        <v>4.4186999999999997E-2</v>
      </c>
      <c r="H130" s="45">
        <v>2979</v>
      </c>
      <c r="I130" s="45">
        <v>3288.3</v>
      </c>
      <c r="J130" s="46">
        <v>6.6353</v>
      </c>
      <c r="K130" s="34"/>
      <c r="L130" s="63">
        <v>3.8193999999999999E-2</v>
      </c>
      <c r="M130" s="45">
        <v>2967.8</v>
      </c>
      <c r="N130" s="45">
        <v>3273.3</v>
      </c>
      <c r="O130" s="46">
        <v>6.5579000000000001</v>
      </c>
    </row>
    <row r="131" spans="1:15" x14ac:dyDescent="0.35">
      <c r="A131" s="49">
        <v>500</v>
      </c>
      <c r="B131" s="63">
        <v>5.6670999999999999E-2</v>
      </c>
      <c r="C131" s="45">
        <v>3083.1</v>
      </c>
      <c r="D131" s="45">
        <v>3423.1</v>
      </c>
      <c r="E131" s="46">
        <v>6.8826000000000001</v>
      </c>
      <c r="F131" s="34"/>
      <c r="G131" s="63">
        <v>4.8156999999999998E-2</v>
      </c>
      <c r="H131" s="45">
        <v>3074.3</v>
      </c>
      <c r="I131" s="45">
        <v>3411.4</v>
      </c>
      <c r="J131" s="46">
        <v>6.8</v>
      </c>
      <c r="K131" s="34"/>
      <c r="L131" s="63">
        <v>4.1766999999999999E-2</v>
      </c>
      <c r="M131" s="45">
        <v>3065.4</v>
      </c>
      <c r="N131" s="45">
        <v>3399.5</v>
      </c>
      <c r="O131" s="46">
        <v>6.7266000000000004</v>
      </c>
    </row>
    <row r="132" spans="1:15" x14ac:dyDescent="0.35">
      <c r="A132" s="49">
        <v>600</v>
      </c>
      <c r="B132" s="63">
        <v>6.5265000000000004E-2</v>
      </c>
      <c r="C132" s="45">
        <v>3267.2</v>
      </c>
      <c r="D132" s="45">
        <v>3658.7</v>
      </c>
      <c r="E132" s="46">
        <v>7.1692999999999998</v>
      </c>
      <c r="F132" s="34"/>
      <c r="G132" s="63">
        <v>5.5664999999999999E-2</v>
      </c>
      <c r="H132" s="45">
        <v>3260.9</v>
      </c>
      <c r="I132" s="45">
        <v>3650.6</v>
      </c>
      <c r="J132" s="46">
        <v>7.0910000000000002</v>
      </c>
      <c r="K132" s="34"/>
      <c r="L132" s="63">
        <v>4.8462999999999999E-2</v>
      </c>
      <c r="M132" s="45">
        <v>3254.7</v>
      </c>
      <c r="N132" s="45">
        <v>3642.4</v>
      </c>
      <c r="O132" s="46">
        <v>7.0221</v>
      </c>
    </row>
    <row r="133" spans="1:15" x14ac:dyDescent="0.35">
      <c r="A133" s="49">
        <v>700</v>
      </c>
      <c r="B133" s="63">
        <v>7.3544999999999999E-2</v>
      </c>
      <c r="C133" s="45">
        <v>3453</v>
      </c>
      <c r="D133" s="45">
        <v>3894.3</v>
      </c>
      <c r="E133" s="46">
        <v>7.4245999999999999</v>
      </c>
      <c r="F133" s="34"/>
      <c r="G133" s="63">
        <v>6.2850000000000003E-2</v>
      </c>
      <c r="H133" s="45">
        <v>3448.3</v>
      </c>
      <c r="I133" s="45">
        <v>3888.2</v>
      </c>
      <c r="J133" s="46">
        <v>7.3486000000000002</v>
      </c>
      <c r="K133" s="34"/>
      <c r="L133" s="63">
        <v>5.4828000000000002E-2</v>
      </c>
      <c r="M133" s="45">
        <v>3443.6</v>
      </c>
      <c r="N133" s="45">
        <v>3882.2</v>
      </c>
      <c r="O133" s="46">
        <v>7.2820999999999998</v>
      </c>
    </row>
    <row r="134" spans="1:15" x14ac:dyDescent="0.35">
      <c r="A134" s="49">
        <v>800</v>
      </c>
      <c r="B134" s="63">
        <v>8.1647999999999998E-2</v>
      </c>
      <c r="C134" s="45">
        <v>3643.2</v>
      </c>
      <c r="D134" s="45">
        <v>4133.1000000000004</v>
      </c>
      <c r="E134" s="46">
        <v>7.6581999999999999</v>
      </c>
      <c r="F134" s="34"/>
      <c r="G134" s="63">
        <v>6.9855E-2</v>
      </c>
      <c r="H134" s="45">
        <v>3639.5</v>
      </c>
      <c r="I134" s="45">
        <v>4128.3999999999996</v>
      </c>
      <c r="J134" s="46">
        <v>7.5835999999999997</v>
      </c>
      <c r="K134" s="34"/>
      <c r="L134" s="63">
        <v>6.1011000000000003E-2</v>
      </c>
      <c r="M134" s="45">
        <v>3635.7</v>
      </c>
      <c r="N134" s="45">
        <v>4123.8</v>
      </c>
      <c r="O134" s="46">
        <v>7.5183999999999997</v>
      </c>
    </row>
    <row r="135" spans="1:15" x14ac:dyDescent="0.35">
      <c r="A135" s="49">
        <v>900</v>
      </c>
      <c r="B135" s="63">
        <v>8.9640999999999998E-2</v>
      </c>
      <c r="C135" s="45">
        <v>3838.8</v>
      </c>
      <c r="D135" s="45">
        <v>4376.6000000000004</v>
      </c>
      <c r="E135" s="46">
        <v>7.8750999999999998</v>
      </c>
      <c r="F135" s="34"/>
      <c r="G135" s="63">
        <v>7.6749999999999999E-2</v>
      </c>
      <c r="H135" s="45">
        <v>3835.7</v>
      </c>
      <c r="I135" s="45">
        <v>4373</v>
      </c>
      <c r="J135" s="46">
        <v>7.8014000000000001</v>
      </c>
      <c r="K135" s="34"/>
      <c r="L135" s="63">
        <v>6.7082000000000003E-2</v>
      </c>
      <c r="M135" s="45">
        <v>3832.6</v>
      </c>
      <c r="N135" s="45">
        <v>4369.3</v>
      </c>
      <c r="O135" s="46">
        <v>7.7370999999999999</v>
      </c>
    </row>
    <row r="136" spans="1:15" x14ac:dyDescent="0.35">
      <c r="A136" s="49">
        <v>1000</v>
      </c>
      <c r="B136" s="63">
        <v>9.7559999999999994E-2</v>
      </c>
      <c r="C136" s="45">
        <v>4040.1</v>
      </c>
      <c r="D136" s="45">
        <v>4625.3999999999996</v>
      </c>
      <c r="E136" s="46">
        <v>8.0785999999999998</v>
      </c>
      <c r="F136" s="34"/>
      <c r="G136" s="63">
        <v>8.3571000000000006E-2</v>
      </c>
      <c r="H136" s="45">
        <v>4037.5</v>
      </c>
      <c r="I136" s="45">
        <v>4622.5</v>
      </c>
      <c r="J136" s="46">
        <v>8.0054999999999996</v>
      </c>
      <c r="K136" s="34"/>
      <c r="L136" s="63">
        <v>7.3079000000000005E-2</v>
      </c>
      <c r="M136" s="45">
        <v>4035</v>
      </c>
      <c r="N136" s="45">
        <v>4619.6000000000004</v>
      </c>
      <c r="O136" s="46">
        <v>7.9419000000000004</v>
      </c>
    </row>
    <row r="138" spans="1:15" x14ac:dyDescent="0.35">
      <c r="A138" s="37"/>
      <c r="B138" s="64" t="s">
        <v>292</v>
      </c>
      <c r="C138" s="53"/>
      <c r="D138" s="51"/>
      <c r="E138" s="52"/>
      <c r="F138" s="34"/>
      <c r="H138" s="50" t="s">
        <v>293</v>
      </c>
      <c r="I138" s="51"/>
      <c r="J138" s="52"/>
      <c r="K138" s="34"/>
      <c r="M138" s="50" t="s">
        <v>294</v>
      </c>
      <c r="N138" s="51"/>
      <c r="O138" s="52"/>
    </row>
    <row r="139" spans="1:15" x14ac:dyDescent="0.35">
      <c r="A139" s="47" t="s">
        <v>251</v>
      </c>
      <c r="B139" s="61" t="s">
        <v>262</v>
      </c>
      <c r="C139" s="39" t="s">
        <v>263</v>
      </c>
      <c r="D139" s="39" t="s">
        <v>264</v>
      </c>
      <c r="E139" s="40" t="s">
        <v>265</v>
      </c>
      <c r="F139" s="34"/>
      <c r="G139" s="61" t="s">
        <v>262</v>
      </c>
      <c r="H139" s="39" t="s">
        <v>263</v>
      </c>
      <c r="I139" s="39" t="s">
        <v>264</v>
      </c>
      <c r="J139" s="40" t="s">
        <v>265</v>
      </c>
      <c r="K139" s="34"/>
      <c r="L139" s="61" t="s">
        <v>262</v>
      </c>
      <c r="M139" s="39" t="s">
        <v>263</v>
      </c>
      <c r="N139" s="39" t="s">
        <v>264</v>
      </c>
      <c r="O139" s="40" t="s">
        <v>265</v>
      </c>
    </row>
    <row r="140" spans="1:15" x14ac:dyDescent="0.35">
      <c r="A140" s="48" t="s">
        <v>252</v>
      </c>
      <c r="B140" s="62" t="s">
        <v>266</v>
      </c>
      <c r="C140" s="42" t="s">
        <v>267</v>
      </c>
      <c r="D140" s="42" t="s">
        <v>268</v>
      </c>
      <c r="E140" s="43" t="s">
        <v>269</v>
      </c>
      <c r="F140" s="34"/>
      <c r="G140" s="62" t="s">
        <v>266</v>
      </c>
      <c r="H140" s="42" t="s">
        <v>267</v>
      </c>
      <c r="I140" s="42" t="s">
        <v>268</v>
      </c>
      <c r="J140" s="43" t="s">
        <v>269</v>
      </c>
      <c r="K140" s="34"/>
      <c r="L140" s="62" t="s">
        <v>266</v>
      </c>
      <c r="M140" s="42" t="s">
        <v>267</v>
      </c>
      <c r="N140" s="42" t="s">
        <v>268</v>
      </c>
      <c r="O140" s="43" t="s">
        <v>269</v>
      </c>
    </row>
    <row r="141" spans="1:15" x14ac:dyDescent="0.35">
      <c r="A141" s="47" t="s">
        <v>270</v>
      </c>
      <c r="B141" s="63">
        <v>2.0490000000000001E-2</v>
      </c>
      <c r="C141" s="45">
        <v>2558.5</v>
      </c>
      <c r="D141" s="45">
        <v>2742.9</v>
      </c>
      <c r="E141" s="46">
        <v>5.6791</v>
      </c>
      <c r="F141" s="34"/>
      <c r="G141" s="63">
        <v>1.8030000000000001E-2</v>
      </c>
      <c r="H141" s="45">
        <v>2545.1999999999998</v>
      </c>
      <c r="I141" s="45">
        <v>2725.5</v>
      </c>
      <c r="J141" s="46">
        <v>5.6159999999999997</v>
      </c>
      <c r="K141" s="34"/>
      <c r="L141" s="63">
        <v>1.3495999999999999E-2</v>
      </c>
      <c r="M141" s="45">
        <v>2505.6</v>
      </c>
      <c r="N141" s="45">
        <v>2674.3</v>
      </c>
      <c r="O141" s="46">
        <v>5.4638</v>
      </c>
    </row>
    <row r="142" spans="1:15" x14ac:dyDescent="0.35">
      <c r="A142" s="49">
        <v>350</v>
      </c>
      <c r="B142" s="63">
        <v>2.5815999999999999E-2</v>
      </c>
      <c r="C142" s="45">
        <v>2724.9</v>
      </c>
      <c r="D142" s="45">
        <v>2957.3</v>
      </c>
      <c r="E142" s="46">
        <v>6.0380000000000003</v>
      </c>
      <c r="F142" s="34"/>
      <c r="G142" s="63">
        <v>2.2440000000000002E-2</v>
      </c>
      <c r="H142" s="45">
        <v>2699.6</v>
      </c>
      <c r="I142" s="45">
        <v>2924</v>
      </c>
      <c r="J142" s="46">
        <v>5.9459</v>
      </c>
      <c r="K142" s="34"/>
      <c r="L142" s="63">
        <v>1.6138E-2</v>
      </c>
      <c r="M142" s="45">
        <v>2624.8</v>
      </c>
      <c r="N142" s="45">
        <v>2826.6</v>
      </c>
      <c r="O142" s="46">
        <v>5.7130000000000001</v>
      </c>
    </row>
    <row r="143" spans="1:15" x14ac:dyDescent="0.35">
      <c r="A143" s="49">
        <v>400</v>
      </c>
      <c r="B143" s="63">
        <v>2.9960000000000001E-2</v>
      </c>
      <c r="C143" s="45">
        <v>2849.2</v>
      </c>
      <c r="D143" s="45">
        <v>3118.8</v>
      </c>
      <c r="E143" s="46">
        <v>6.2876000000000003</v>
      </c>
      <c r="F143" s="34"/>
      <c r="G143" s="63">
        <v>2.6436000000000001E-2</v>
      </c>
      <c r="H143" s="45">
        <v>2833.1</v>
      </c>
      <c r="I143" s="45">
        <v>3097.4</v>
      </c>
      <c r="J143" s="46">
        <v>6.2141000000000002</v>
      </c>
      <c r="K143" s="34"/>
      <c r="L143" s="63">
        <v>2.0029999999999999E-2</v>
      </c>
      <c r="M143" s="45">
        <v>2789.6</v>
      </c>
      <c r="N143" s="45">
        <v>3040</v>
      </c>
      <c r="O143" s="46">
        <v>6.0433000000000003</v>
      </c>
    </row>
    <row r="144" spans="1:15" x14ac:dyDescent="0.35">
      <c r="A144" s="49">
        <v>450</v>
      </c>
      <c r="B144" s="63">
        <v>3.3523999999999998E-2</v>
      </c>
      <c r="C144" s="45">
        <v>2956.3</v>
      </c>
      <c r="D144" s="45">
        <v>3258</v>
      </c>
      <c r="E144" s="46">
        <v>6.4871999999999996</v>
      </c>
      <c r="F144" s="34"/>
      <c r="G144" s="63">
        <v>2.9781999999999999E-2</v>
      </c>
      <c r="H144" s="45">
        <v>2944.5</v>
      </c>
      <c r="I144" s="45">
        <v>3242.3</v>
      </c>
      <c r="J144" s="46">
        <v>6.4218999999999999</v>
      </c>
      <c r="K144" s="34"/>
      <c r="L144" s="63">
        <v>2.3019000000000001E-2</v>
      </c>
      <c r="M144" s="45">
        <v>2913.7</v>
      </c>
      <c r="N144" s="45">
        <v>3201.4</v>
      </c>
      <c r="O144" s="46">
        <v>6.2748999999999997</v>
      </c>
    </row>
    <row r="145" spans="1:15" x14ac:dyDescent="0.35">
      <c r="A145" s="49">
        <v>500</v>
      </c>
      <c r="B145" s="63">
        <v>3.6792999999999999E-2</v>
      </c>
      <c r="C145" s="45">
        <v>3056.3</v>
      </c>
      <c r="D145" s="45">
        <v>3387.4</v>
      </c>
      <c r="E145" s="46">
        <v>6.6603000000000003</v>
      </c>
      <c r="F145" s="34"/>
      <c r="G145" s="63">
        <v>3.2811E-2</v>
      </c>
      <c r="H145" s="45">
        <v>3047</v>
      </c>
      <c r="I145" s="45">
        <v>3375.1</v>
      </c>
      <c r="J145" s="46">
        <v>6.5994999999999999</v>
      </c>
      <c r="K145" s="34"/>
      <c r="L145" s="63">
        <v>2.563E-2</v>
      </c>
      <c r="M145" s="45">
        <v>3023.2</v>
      </c>
      <c r="N145" s="45">
        <v>3343.6</v>
      </c>
      <c r="O145" s="46">
        <v>6.4649999999999999</v>
      </c>
    </row>
    <row r="146" spans="1:15" x14ac:dyDescent="0.35">
      <c r="A146" s="49">
        <v>600</v>
      </c>
      <c r="B146" s="63">
        <v>4.2861000000000003E-2</v>
      </c>
      <c r="C146" s="45">
        <v>3248.4</v>
      </c>
      <c r="D146" s="45">
        <v>3634.1</v>
      </c>
      <c r="E146" s="46">
        <v>6.9604999999999997</v>
      </c>
      <c r="F146" s="34"/>
      <c r="G146" s="63">
        <v>3.8378000000000002E-2</v>
      </c>
      <c r="H146" s="45">
        <v>3242</v>
      </c>
      <c r="I146" s="45">
        <v>3625.8</v>
      </c>
      <c r="J146" s="46">
        <v>6.9044999999999996</v>
      </c>
      <c r="K146" s="34"/>
      <c r="L146" s="63">
        <v>3.0306E-2</v>
      </c>
      <c r="M146" s="45">
        <v>3225.8</v>
      </c>
      <c r="N146" s="45">
        <v>3604.6</v>
      </c>
      <c r="O146" s="46">
        <v>6.7827999999999999</v>
      </c>
    </row>
    <row r="147" spans="1:15" x14ac:dyDescent="0.35">
      <c r="A147" s="49">
        <v>700</v>
      </c>
      <c r="B147" s="63">
        <v>4.8589E-2</v>
      </c>
      <c r="C147" s="45">
        <v>3438.8</v>
      </c>
      <c r="D147" s="45">
        <v>3876.1</v>
      </c>
      <c r="E147" s="46">
        <v>7.2229000000000001</v>
      </c>
      <c r="F147" s="34"/>
      <c r="G147" s="63">
        <v>4.3596999999999997E-2</v>
      </c>
      <c r="H147" s="45">
        <v>3434</v>
      </c>
      <c r="I147" s="45">
        <v>3870</v>
      </c>
      <c r="J147" s="46">
        <v>7.1692999999999998</v>
      </c>
      <c r="K147" s="34"/>
      <c r="L147" s="63">
        <v>3.4611999999999997E-2</v>
      </c>
      <c r="M147" s="45">
        <v>3422</v>
      </c>
      <c r="N147" s="45">
        <v>3854.6</v>
      </c>
      <c r="O147" s="46">
        <v>7.0538999999999996</v>
      </c>
    </row>
    <row r="148" spans="1:15" x14ac:dyDescent="0.35">
      <c r="A148" s="49">
        <v>800</v>
      </c>
      <c r="B148" s="63">
        <v>5.4132E-2</v>
      </c>
      <c r="C148" s="45">
        <v>3632</v>
      </c>
      <c r="D148" s="45">
        <v>4119.1000000000004</v>
      </c>
      <c r="E148" s="46">
        <v>7.4606000000000003</v>
      </c>
      <c r="F148" s="34"/>
      <c r="G148" s="63">
        <v>4.8628999999999999E-2</v>
      </c>
      <c r="H148" s="45">
        <v>3628.2</v>
      </c>
      <c r="I148" s="45">
        <v>4114.5</v>
      </c>
      <c r="J148" s="46">
        <v>7.4085000000000001</v>
      </c>
      <c r="K148" s="34"/>
      <c r="L148" s="63">
        <v>3.8724000000000001E-2</v>
      </c>
      <c r="M148" s="45">
        <v>3618.7</v>
      </c>
      <c r="N148" s="45">
        <v>4102.8</v>
      </c>
      <c r="O148" s="46">
        <v>7.2967000000000004</v>
      </c>
    </row>
    <row r="149" spans="1:15" x14ac:dyDescent="0.35">
      <c r="A149" s="49">
        <v>900</v>
      </c>
      <c r="B149" s="63">
        <v>5.9561999999999997E-2</v>
      </c>
      <c r="C149" s="45">
        <v>3829.6</v>
      </c>
      <c r="D149" s="45">
        <v>4365.7</v>
      </c>
      <c r="E149" s="46">
        <v>7.6802000000000001</v>
      </c>
      <c r="F149" s="34"/>
      <c r="G149" s="63">
        <v>5.3546999999999997E-2</v>
      </c>
      <c r="H149" s="45">
        <v>3826.5</v>
      </c>
      <c r="I149" s="45">
        <v>4362</v>
      </c>
      <c r="J149" s="46">
        <v>7.6289999999999996</v>
      </c>
      <c r="K149" s="34"/>
      <c r="L149" s="63">
        <v>4.2720000000000001E-2</v>
      </c>
      <c r="M149" s="45">
        <v>3818.9</v>
      </c>
      <c r="N149" s="45">
        <v>4352.8999999999996</v>
      </c>
      <c r="O149" s="46">
        <v>7.5194000000000001</v>
      </c>
    </row>
    <row r="150" spans="1:15" x14ac:dyDescent="0.35">
      <c r="A150" s="49">
        <v>1000</v>
      </c>
      <c r="B150" s="63">
        <v>6.4918000000000003E-2</v>
      </c>
      <c r="C150" s="45">
        <v>4032.4</v>
      </c>
      <c r="D150" s="45">
        <v>4616.7</v>
      </c>
      <c r="E150" s="46">
        <v>7.8855000000000004</v>
      </c>
      <c r="F150" s="34"/>
      <c r="G150" s="63">
        <v>5.8389999999999997E-2</v>
      </c>
      <c r="H150" s="45">
        <v>4029.9</v>
      </c>
      <c r="I150" s="45">
        <v>4613.8</v>
      </c>
      <c r="J150" s="46">
        <v>7.8349000000000002</v>
      </c>
      <c r="K150" s="34"/>
      <c r="L150" s="63">
        <v>4.6641000000000002E-2</v>
      </c>
      <c r="M150" s="45">
        <v>4023.5</v>
      </c>
      <c r="N150" s="45">
        <v>4606.5</v>
      </c>
      <c r="O150" s="46">
        <v>7.7268999999999997</v>
      </c>
    </row>
    <row r="152" spans="1:15" x14ac:dyDescent="0.35">
      <c r="A152" s="37"/>
      <c r="B152" s="64" t="s">
        <v>295</v>
      </c>
      <c r="C152" s="53"/>
      <c r="D152" s="51"/>
      <c r="E152" s="52"/>
      <c r="F152" s="34"/>
      <c r="H152" s="50" t="s">
        <v>296</v>
      </c>
      <c r="I152" s="51"/>
      <c r="J152" s="52"/>
      <c r="K152" s="34"/>
      <c r="M152" s="50" t="s">
        <v>297</v>
      </c>
      <c r="N152" s="51"/>
      <c r="O152" s="52"/>
    </row>
    <row r="153" spans="1:15" x14ac:dyDescent="0.35">
      <c r="A153" s="47" t="s">
        <v>251</v>
      </c>
      <c r="B153" s="61" t="s">
        <v>262</v>
      </c>
      <c r="C153" s="39" t="s">
        <v>263</v>
      </c>
      <c r="D153" s="39" t="s">
        <v>264</v>
      </c>
      <c r="E153" s="40" t="s">
        <v>265</v>
      </c>
      <c r="F153" s="34"/>
      <c r="G153" s="61" t="s">
        <v>262</v>
      </c>
      <c r="H153" s="39" t="s">
        <v>263</v>
      </c>
      <c r="I153" s="39" t="s">
        <v>264</v>
      </c>
      <c r="J153" s="40" t="s">
        <v>265</v>
      </c>
      <c r="K153" s="34"/>
      <c r="L153" s="61" t="s">
        <v>262</v>
      </c>
      <c r="M153" s="39" t="s">
        <v>263</v>
      </c>
      <c r="N153" s="39" t="s">
        <v>264</v>
      </c>
      <c r="O153" s="40" t="s">
        <v>265</v>
      </c>
    </row>
    <row r="154" spans="1:15" x14ac:dyDescent="0.35">
      <c r="A154" s="48" t="s">
        <v>252</v>
      </c>
      <c r="B154" s="62" t="s">
        <v>266</v>
      </c>
      <c r="C154" s="42" t="s">
        <v>267</v>
      </c>
      <c r="D154" s="42" t="s">
        <v>268</v>
      </c>
      <c r="E154" s="43" t="s">
        <v>269</v>
      </c>
      <c r="F154" s="34"/>
      <c r="G154" s="62" t="s">
        <v>266</v>
      </c>
      <c r="H154" s="42" t="s">
        <v>267</v>
      </c>
      <c r="I154" s="42" t="s">
        <v>268</v>
      </c>
      <c r="J154" s="43" t="s">
        <v>269</v>
      </c>
      <c r="K154" s="34"/>
      <c r="L154" s="62" t="s">
        <v>266</v>
      </c>
      <c r="M154" s="42" t="s">
        <v>267</v>
      </c>
      <c r="N154" s="42" t="s">
        <v>268</v>
      </c>
      <c r="O154" s="43" t="s">
        <v>269</v>
      </c>
    </row>
    <row r="155" spans="1:15" x14ac:dyDescent="0.35">
      <c r="A155" s="47" t="s">
        <v>270</v>
      </c>
      <c r="B155" s="63">
        <v>1.0338E-2</v>
      </c>
      <c r="C155" s="45">
        <v>2455.6</v>
      </c>
      <c r="D155" s="45">
        <v>2610.6999999999998</v>
      </c>
      <c r="E155" s="46">
        <v>5.3106</v>
      </c>
      <c r="F155" s="34"/>
      <c r="G155" s="63">
        <v>7.9292000000000008E-3</v>
      </c>
      <c r="H155" s="45">
        <v>2390.5</v>
      </c>
      <c r="I155" s="45">
        <v>2529.3000000000002</v>
      </c>
      <c r="J155" s="46">
        <v>5.1430999999999996</v>
      </c>
      <c r="K155" s="34"/>
      <c r="L155" s="63">
        <v>5.8652000000000001E-3</v>
      </c>
      <c r="M155" s="45">
        <v>2295</v>
      </c>
      <c r="N155" s="45">
        <v>2412.3000000000002</v>
      </c>
      <c r="O155" s="46">
        <v>4.9314</v>
      </c>
    </row>
    <row r="156" spans="1:15" x14ac:dyDescent="0.35">
      <c r="A156" s="49">
        <v>375</v>
      </c>
      <c r="B156" s="63">
        <v>1.3901999999999999E-2</v>
      </c>
      <c r="C156" s="45">
        <v>2650.4</v>
      </c>
      <c r="D156" s="45">
        <v>2858.9</v>
      </c>
      <c r="E156" s="46">
        <v>5.7050000000000001</v>
      </c>
      <c r="F156" s="34"/>
      <c r="G156" s="63">
        <v>1.056E-2</v>
      </c>
      <c r="H156" s="45">
        <v>2567.5</v>
      </c>
      <c r="I156" s="45">
        <v>2752.3</v>
      </c>
      <c r="J156" s="46">
        <v>5.4935999999999998</v>
      </c>
      <c r="K156" s="34"/>
      <c r="L156" s="63">
        <v>7.6763999999999999E-3</v>
      </c>
      <c r="M156" s="45">
        <v>2449.1</v>
      </c>
      <c r="N156" s="45">
        <v>2602.6</v>
      </c>
      <c r="O156" s="46">
        <v>5.2275</v>
      </c>
    </row>
    <row r="157" spans="1:15" x14ac:dyDescent="0.35">
      <c r="A157" s="49">
        <v>400</v>
      </c>
      <c r="B157" s="63">
        <v>1.5671000000000001E-2</v>
      </c>
      <c r="C157" s="45">
        <v>2740.6</v>
      </c>
      <c r="D157" s="45">
        <v>2975.7</v>
      </c>
      <c r="E157" s="46">
        <v>5.8818999999999999</v>
      </c>
      <c r="F157" s="34"/>
      <c r="G157" s="63">
        <v>1.2463E-2</v>
      </c>
      <c r="H157" s="45">
        <v>2684.3</v>
      </c>
      <c r="I157" s="45">
        <v>2902.4</v>
      </c>
      <c r="J157" s="46">
        <v>5.7210999999999999</v>
      </c>
      <c r="K157" s="34"/>
      <c r="L157" s="63">
        <v>9.9503000000000005E-3</v>
      </c>
      <c r="M157" s="45">
        <v>2617.9</v>
      </c>
      <c r="N157" s="45">
        <v>2816.9</v>
      </c>
      <c r="O157" s="46">
        <v>5.5525000000000002</v>
      </c>
    </row>
    <row r="158" spans="1:15" x14ac:dyDescent="0.35">
      <c r="A158" s="49">
        <v>450</v>
      </c>
      <c r="B158" s="63">
        <v>1.8477E-2</v>
      </c>
      <c r="C158" s="45">
        <v>2880.7</v>
      </c>
      <c r="D158" s="45">
        <v>3157.9</v>
      </c>
      <c r="E158" s="46">
        <v>6.1433999999999997</v>
      </c>
      <c r="F158" s="34"/>
      <c r="G158" s="63">
        <v>1.5204000000000001E-2</v>
      </c>
      <c r="H158" s="45">
        <v>2845.4</v>
      </c>
      <c r="I158" s="45">
        <v>3111.4</v>
      </c>
      <c r="J158" s="46">
        <v>6.0212000000000003</v>
      </c>
      <c r="K158" s="34"/>
      <c r="L158" s="63">
        <v>1.2721E-2</v>
      </c>
      <c r="M158" s="45">
        <v>2807.2</v>
      </c>
      <c r="N158" s="45">
        <v>3061.7</v>
      </c>
      <c r="O158" s="46">
        <v>5.9043000000000001</v>
      </c>
    </row>
    <row r="159" spans="1:15" x14ac:dyDescent="0.35">
      <c r="A159" s="49">
        <v>500</v>
      </c>
      <c r="B159" s="63">
        <v>2.0826999999999998E-2</v>
      </c>
      <c r="C159" s="45">
        <v>2998.4</v>
      </c>
      <c r="D159" s="45">
        <v>3310.8</v>
      </c>
      <c r="E159" s="46">
        <v>6.3479999999999999</v>
      </c>
      <c r="F159" s="34"/>
      <c r="G159" s="63">
        <v>1.7385000000000001E-2</v>
      </c>
      <c r="H159" s="45">
        <v>2972.4</v>
      </c>
      <c r="I159" s="45">
        <v>3276.7</v>
      </c>
      <c r="J159" s="46">
        <v>6.2423999999999999</v>
      </c>
      <c r="K159" s="34"/>
      <c r="L159" s="63">
        <v>1.4793000000000001E-2</v>
      </c>
      <c r="M159" s="45">
        <v>2945.3</v>
      </c>
      <c r="N159" s="45">
        <v>3241.2</v>
      </c>
      <c r="O159" s="46">
        <v>6.1445999999999996</v>
      </c>
    </row>
    <row r="160" spans="1:15" x14ac:dyDescent="0.35">
      <c r="A160" s="49">
        <v>600</v>
      </c>
      <c r="B160" s="63">
        <v>2.4920999999999999E-2</v>
      </c>
      <c r="C160" s="45">
        <v>3209.3</v>
      </c>
      <c r="D160" s="45">
        <v>3583.1</v>
      </c>
      <c r="E160" s="46">
        <v>6.6795999999999998</v>
      </c>
      <c r="F160" s="34"/>
      <c r="G160" s="63">
        <v>2.1073000000000001E-2</v>
      </c>
      <c r="H160" s="45">
        <v>3192.5</v>
      </c>
      <c r="I160" s="45">
        <v>3561.3</v>
      </c>
      <c r="J160" s="46">
        <v>6.5890000000000004</v>
      </c>
      <c r="K160" s="34"/>
      <c r="L160" s="63">
        <v>1.8185E-2</v>
      </c>
      <c r="M160" s="45">
        <v>3175.3</v>
      </c>
      <c r="N160" s="45">
        <v>3539</v>
      </c>
      <c r="O160" s="46">
        <v>6.5075000000000003</v>
      </c>
    </row>
    <row r="161" spans="1:15" x14ac:dyDescent="0.35">
      <c r="A161" s="49">
        <v>700</v>
      </c>
      <c r="B161" s="63">
        <v>2.8621000000000001E-2</v>
      </c>
      <c r="C161" s="45">
        <v>3409.8</v>
      </c>
      <c r="D161" s="45">
        <v>3839.1</v>
      </c>
      <c r="E161" s="46">
        <v>6.9572000000000003</v>
      </c>
      <c r="F161" s="34"/>
      <c r="G161" s="63">
        <v>2.4341999999999999E-2</v>
      </c>
      <c r="H161" s="45">
        <v>3397.5</v>
      </c>
      <c r="I161" s="45">
        <v>3823.5</v>
      </c>
      <c r="J161" s="46">
        <v>6.8734000000000002</v>
      </c>
      <c r="K161" s="34"/>
      <c r="L161" s="63">
        <v>2.1132999999999999E-2</v>
      </c>
      <c r="M161" s="45">
        <v>3385.1</v>
      </c>
      <c r="N161" s="45">
        <v>3807.8</v>
      </c>
      <c r="O161" s="46">
        <v>6.7990000000000004</v>
      </c>
    </row>
    <row r="162" spans="1:15" x14ac:dyDescent="0.35">
      <c r="A162" s="49">
        <v>800</v>
      </c>
      <c r="B162" s="63">
        <v>3.2120999999999997E-2</v>
      </c>
      <c r="C162" s="45">
        <v>3609.2</v>
      </c>
      <c r="D162" s="45">
        <v>4091.1</v>
      </c>
      <c r="E162" s="46">
        <v>7.2037000000000004</v>
      </c>
      <c r="F162" s="34"/>
      <c r="G162" s="63">
        <v>2.7404999999999999E-2</v>
      </c>
      <c r="H162" s="45">
        <v>3599.7</v>
      </c>
      <c r="I162" s="45">
        <v>4079.3</v>
      </c>
      <c r="J162" s="46">
        <v>7.1235999999999997</v>
      </c>
      <c r="K162" s="34"/>
      <c r="L162" s="63">
        <v>2.3869000000000001E-2</v>
      </c>
      <c r="M162" s="45">
        <v>3590.1</v>
      </c>
      <c r="N162" s="45">
        <v>4067.5</v>
      </c>
      <c r="O162" s="46">
        <v>7.0530999999999997</v>
      </c>
    </row>
    <row r="163" spans="1:15" x14ac:dyDescent="0.35">
      <c r="A163" s="49">
        <v>900</v>
      </c>
      <c r="B163" s="63">
        <v>3.5503E-2</v>
      </c>
      <c r="C163" s="45">
        <v>3811.2</v>
      </c>
      <c r="D163" s="45">
        <v>4343.7</v>
      </c>
      <c r="E163" s="46">
        <v>7.4287999999999998</v>
      </c>
      <c r="F163" s="34"/>
      <c r="G163" s="63">
        <v>3.0348E-2</v>
      </c>
      <c r="H163" s="45">
        <v>3803.4</v>
      </c>
      <c r="I163" s="45">
        <v>4334.5</v>
      </c>
      <c r="J163" s="46">
        <v>7.3510999999999997</v>
      </c>
      <c r="K163" s="34"/>
      <c r="L163" s="63">
        <v>2.6483E-2</v>
      </c>
      <c r="M163" s="45">
        <v>3795.7</v>
      </c>
      <c r="N163" s="45">
        <v>4325.3999999999996</v>
      </c>
      <c r="O163" s="46">
        <v>7.2828999999999997</v>
      </c>
    </row>
    <row r="164" spans="1:15" x14ac:dyDescent="0.35">
      <c r="A164" s="49">
        <v>1000</v>
      </c>
      <c r="B164" s="63">
        <v>3.8808000000000002E-2</v>
      </c>
      <c r="C164" s="45">
        <v>4017.1</v>
      </c>
      <c r="D164" s="45">
        <v>4599.2</v>
      </c>
      <c r="E164" s="46">
        <v>7.6378000000000004</v>
      </c>
      <c r="F164" s="34"/>
      <c r="G164" s="63">
        <v>3.3215000000000001E-2</v>
      </c>
      <c r="H164" s="45">
        <v>4010.7</v>
      </c>
      <c r="I164" s="45">
        <v>4592</v>
      </c>
      <c r="J164" s="46">
        <v>7.5616000000000003</v>
      </c>
      <c r="K164" s="34"/>
      <c r="L164" s="63">
        <v>2.9020000000000001E-2</v>
      </c>
      <c r="M164" s="45">
        <v>4004.3</v>
      </c>
      <c r="N164" s="45">
        <v>4584.7</v>
      </c>
      <c r="O164" s="46">
        <v>7.4950000000000001</v>
      </c>
    </row>
    <row r="166" spans="1:15" x14ac:dyDescent="0.35">
      <c r="B166" s="64" t="s">
        <v>298</v>
      </c>
      <c r="C166" s="53"/>
      <c r="D166" s="51"/>
      <c r="E166" s="52"/>
      <c r="F166" s="34"/>
      <c r="H166" s="50" t="s">
        <v>299</v>
      </c>
      <c r="I166" s="51"/>
      <c r="J166" s="52"/>
      <c r="K166" s="34"/>
      <c r="M166" s="50" t="s">
        <v>300</v>
      </c>
      <c r="N166" s="51"/>
      <c r="O166" s="52"/>
    </row>
    <row r="167" spans="1:15" x14ac:dyDescent="0.35">
      <c r="A167" s="47" t="s">
        <v>251</v>
      </c>
      <c r="B167" s="61" t="s">
        <v>262</v>
      </c>
      <c r="C167" s="39" t="s">
        <v>263</v>
      </c>
      <c r="D167" s="39" t="s">
        <v>264</v>
      </c>
      <c r="E167" s="40" t="s">
        <v>265</v>
      </c>
      <c r="F167" s="34"/>
      <c r="G167" s="61" t="s">
        <v>262</v>
      </c>
      <c r="H167" s="39" t="s">
        <v>263</v>
      </c>
      <c r="I167" s="39" t="s">
        <v>264</v>
      </c>
      <c r="J167" s="40" t="s">
        <v>265</v>
      </c>
      <c r="K167" s="34"/>
      <c r="L167" s="61" t="s">
        <v>262</v>
      </c>
      <c r="M167" s="39" t="s">
        <v>263</v>
      </c>
      <c r="N167" s="39" t="s">
        <v>264</v>
      </c>
      <c r="O167" s="40" t="s">
        <v>265</v>
      </c>
    </row>
    <row r="168" spans="1:15" x14ac:dyDescent="0.35">
      <c r="A168" s="48" t="s">
        <v>252</v>
      </c>
      <c r="B168" s="62" t="s">
        <v>266</v>
      </c>
      <c r="C168" s="42" t="s">
        <v>267</v>
      </c>
      <c r="D168" s="42" t="s">
        <v>268</v>
      </c>
      <c r="E168" s="43" t="s">
        <v>269</v>
      </c>
      <c r="F168" s="34"/>
      <c r="G168" s="62" t="s">
        <v>266</v>
      </c>
      <c r="H168" s="42" t="s">
        <v>267</v>
      </c>
      <c r="I168" s="42" t="s">
        <v>268</v>
      </c>
      <c r="J168" s="43" t="s">
        <v>269</v>
      </c>
      <c r="K168" s="34"/>
      <c r="L168" s="62" t="s">
        <v>266</v>
      </c>
      <c r="M168" s="42" t="s">
        <v>267</v>
      </c>
      <c r="N168" s="42" t="s">
        <v>268</v>
      </c>
      <c r="O168" s="43" t="s">
        <v>269</v>
      </c>
    </row>
    <row r="169" spans="1:15" x14ac:dyDescent="0.35">
      <c r="A169" s="47">
        <v>375</v>
      </c>
      <c r="B169" s="63">
        <v>1.9783000000000001E-3</v>
      </c>
      <c r="C169" s="45">
        <v>1799.9</v>
      </c>
      <c r="D169" s="45">
        <v>1849.4</v>
      </c>
      <c r="E169" s="46">
        <v>4.0343999999999998</v>
      </c>
      <c r="F169" s="34"/>
      <c r="G169" s="63">
        <v>1.7916E-3</v>
      </c>
      <c r="H169" s="45">
        <v>1738.1</v>
      </c>
      <c r="I169" s="45">
        <v>1791.8</v>
      </c>
      <c r="J169" s="46">
        <v>3.9312999999999998</v>
      </c>
      <c r="K169" s="34"/>
      <c r="L169" s="63">
        <v>1.6412E-3</v>
      </c>
      <c r="M169" s="45">
        <v>1677</v>
      </c>
      <c r="N169" s="45">
        <v>1742.6</v>
      </c>
      <c r="O169" s="46">
        <v>3.8290000000000002</v>
      </c>
    </row>
    <row r="170" spans="1:15" x14ac:dyDescent="0.35">
      <c r="A170" s="49">
        <v>400</v>
      </c>
      <c r="B170" s="63">
        <v>6.0047E-3</v>
      </c>
      <c r="C170" s="45">
        <v>2428.5</v>
      </c>
      <c r="D170" s="45">
        <v>2578.6</v>
      </c>
      <c r="E170" s="46">
        <v>5.14</v>
      </c>
      <c r="F170" s="34"/>
      <c r="G170" s="63">
        <v>2.7978E-3</v>
      </c>
      <c r="H170" s="45">
        <v>2068.9</v>
      </c>
      <c r="I170" s="45">
        <v>2152.8000000000002</v>
      </c>
      <c r="J170" s="46">
        <v>4.4756999999999998</v>
      </c>
      <c r="K170" s="34"/>
      <c r="L170" s="63">
        <v>1.9108E-3</v>
      </c>
      <c r="M170" s="45">
        <v>1854.9</v>
      </c>
      <c r="N170" s="45">
        <v>1931.4</v>
      </c>
      <c r="O170" s="46">
        <v>4.1144999999999996</v>
      </c>
    </row>
    <row r="171" spans="1:15" x14ac:dyDescent="0.35">
      <c r="A171" s="49">
        <v>450</v>
      </c>
      <c r="B171" s="63">
        <v>9.1763000000000001E-3</v>
      </c>
      <c r="C171" s="45">
        <v>2721.2</v>
      </c>
      <c r="D171" s="45">
        <v>2950.6</v>
      </c>
      <c r="E171" s="46">
        <v>5.6759000000000004</v>
      </c>
      <c r="F171" s="34"/>
      <c r="G171" s="63">
        <v>6.7372999999999999E-3</v>
      </c>
      <c r="H171" s="45">
        <v>2618.9</v>
      </c>
      <c r="I171" s="45">
        <v>2821</v>
      </c>
      <c r="J171" s="46">
        <v>5.4420999999999999</v>
      </c>
      <c r="K171" s="34"/>
      <c r="L171" s="63">
        <v>3.6914999999999999E-3</v>
      </c>
      <c r="M171" s="45">
        <v>2364.1999999999998</v>
      </c>
      <c r="N171" s="45">
        <v>2511.8000000000002</v>
      </c>
      <c r="O171" s="46">
        <v>4.9447999999999999</v>
      </c>
    </row>
    <row r="172" spans="1:15" x14ac:dyDescent="0.35">
      <c r="A172" s="49">
        <v>500</v>
      </c>
      <c r="B172" s="63">
        <v>1.1143E-2</v>
      </c>
      <c r="C172" s="45">
        <v>2887.3</v>
      </c>
      <c r="D172" s="45">
        <v>3165.9</v>
      </c>
      <c r="E172" s="46">
        <v>5.9641999999999999</v>
      </c>
      <c r="F172" s="34"/>
      <c r="G172" s="63">
        <v>8.6903999999999992E-3</v>
      </c>
      <c r="H172" s="45">
        <v>2824</v>
      </c>
      <c r="I172" s="45">
        <v>3084.7</v>
      </c>
      <c r="J172" s="46">
        <v>5.7956000000000003</v>
      </c>
      <c r="K172" s="34"/>
      <c r="L172" s="63">
        <v>5.6230999999999998E-3</v>
      </c>
      <c r="M172" s="45">
        <v>2681.6</v>
      </c>
      <c r="N172" s="45">
        <v>2906.5</v>
      </c>
      <c r="O172" s="46">
        <v>5.4744000000000002</v>
      </c>
    </row>
    <row r="173" spans="1:15" x14ac:dyDescent="0.35">
      <c r="A173" s="49">
        <v>600</v>
      </c>
      <c r="B173" s="63">
        <v>1.414E-2</v>
      </c>
      <c r="C173" s="45">
        <v>3140</v>
      </c>
      <c r="D173" s="45">
        <v>3493.5</v>
      </c>
      <c r="E173" s="46">
        <v>6.3636999999999997</v>
      </c>
      <c r="F173" s="34"/>
      <c r="G173" s="63">
        <v>1.1445E-2</v>
      </c>
      <c r="H173" s="45">
        <v>3103.4</v>
      </c>
      <c r="I173" s="45">
        <v>3446.7</v>
      </c>
      <c r="J173" s="46">
        <v>6.2373000000000003</v>
      </c>
      <c r="K173" s="34"/>
      <c r="L173" s="63">
        <v>8.0891000000000001E-3</v>
      </c>
      <c r="M173" s="45">
        <v>3026.8</v>
      </c>
      <c r="N173" s="45">
        <v>3350.4</v>
      </c>
      <c r="O173" s="46">
        <v>6.0170000000000003</v>
      </c>
    </row>
    <row r="174" spans="1:15" x14ac:dyDescent="0.35">
      <c r="A174" s="49">
        <v>700</v>
      </c>
      <c r="B174" s="63">
        <v>1.6643000000000002E-2</v>
      </c>
      <c r="C174" s="45">
        <v>3359.9</v>
      </c>
      <c r="D174" s="45">
        <v>3776</v>
      </c>
      <c r="E174" s="46">
        <v>6.6702000000000004</v>
      </c>
      <c r="F174" s="34"/>
      <c r="G174" s="63">
        <v>1.3653E-2</v>
      </c>
      <c r="H174" s="45">
        <v>3334.3</v>
      </c>
      <c r="I174" s="45">
        <v>3743.9</v>
      </c>
      <c r="J174" s="46">
        <v>6.5598000000000001</v>
      </c>
      <c r="K174" s="34"/>
      <c r="L174" s="63">
        <v>9.9296999999999996E-3</v>
      </c>
      <c r="M174" s="45">
        <v>3282</v>
      </c>
      <c r="N174" s="45">
        <v>3679.1</v>
      </c>
      <c r="O174" s="46">
        <v>6.3739999999999997</v>
      </c>
    </row>
    <row r="175" spans="1:15" x14ac:dyDescent="0.35">
      <c r="A175" s="49">
        <v>800</v>
      </c>
      <c r="B175" s="63">
        <v>1.8922000000000001E-2</v>
      </c>
      <c r="C175" s="45">
        <v>3570.7</v>
      </c>
      <c r="D175" s="45">
        <v>4043.8</v>
      </c>
      <c r="E175" s="46">
        <v>6.9321999999999999</v>
      </c>
      <c r="F175" s="34"/>
      <c r="G175" s="63">
        <v>1.5628E-2</v>
      </c>
      <c r="H175" s="45">
        <v>3551.2</v>
      </c>
      <c r="I175" s="45">
        <v>4020</v>
      </c>
      <c r="J175" s="46">
        <v>6.83</v>
      </c>
      <c r="K175" s="34"/>
      <c r="L175" s="63">
        <v>1.1521E-2</v>
      </c>
      <c r="M175" s="45">
        <v>3511.8</v>
      </c>
      <c r="N175" s="45">
        <v>3972.6</v>
      </c>
      <c r="O175" s="46">
        <v>6.6612</v>
      </c>
    </row>
    <row r="176" spans="1:15" x14ac:dyDescent="0.35">
      <c r="A176" s="49">
        <v>900</v>
      </c>
      <c r="B176" s="63">
        <v>2.1075E-2</v>
      </c>
      <c r="C176" s="45">
        <v>3780.2</v>
      </c>
      <c r="D176" s="45">
        <v>4307.1000000000004</v>
      </c>
      <c r="E176" s="46">
        <v>7.1668000000000003</v>
      </c>
      <c r="F176" s="34"/>
      <c r="G176" s="63">
        <v>1.7472999999999999E-2</v>
      </c>
      <c r="H176" s="45">
        <v>3764.6</v>
      </c>
      <c r="I176" s="45">
        <v>4288.8</v>
      </c>
      <c r="J176" s="46">
        <v>7.0694999999999997</v>
      </c>
      <c r="K176" s="34"/>
      <c r="L176" s="63">
        <v>1.298E-2</v>
      </c>
      <c r="M176" s="45">
        <v>3733.3</v>
      </c>
      <c r="N176" s="45">
        <v>4252.5</v>
      </c>
      <c r="O176" s="46">
        <v>6.9105999999999996</v>
      </c>
    </row>
    <row r="177" spans="1:15" x14ac:dyDescent="0.35">
      <c r="A177" s="49">
        <v>1000</v>
      </c>
      <c r="B177" s="63">
        <v>2.315E-2</v>
      </c>
      <c r="C177" s="45">
        <v>3991.5</v>
      </c>
      <c r="D177" s="45">
        <v>4570.2</v>
      </c>
      <c r="E177" s="46">
        <v>7.3819999999999997</v>
      </c>
      <c r="F177" s="34"/>
      <c r="G177" s="63">
        <v>1.924E-2</v>
      </c>
      <c r="H177" s="45">
        <v>3978.6</v>
      </c>
      <c r="I177" s="45">
        <v>4555.8</v>
      </c>
      <c r="J177" s="46">
        <v>7.2880000000000003</v>
      </c>
      <c r="K177" s="34"/>
      <c r="L177" s="63">
        <v>1.436E-2</v>
      </c>
      <c r="M177" s="45">
        <v>3952.9</v>
      </c>
      <c r="N177" s="45">
        <v>4527.3</v>
      </c>
      <c r="O177" s="46">
        <v>7.1355000000000004</v>
      </c>
    </row>
    <row r="179" spans="1:15" x14ac:dyDescent="0.35">
      <c r="A179" t="s">
        <v>301</v>
      </c>
      <c r="C179" t="s">
        <v>302</v>
      </c>
      <c r="F179" t="s">
        <v>303</v>
      </c>
    </row>
  </sheetData>
  <hyperlinks>
    <hyperlink ref="C179" r:id="rId1" display="http://webbook.nist.gov/chemistry/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B38A-7C88-4572-9DE1-E6EAD61EC5E1}">
  <dimension ref="A1:O39"/>
  <sheetViews>
    <sheetView workbookViewId="0">
      <selection activeCell="J6" sqref="J6"/>
    </sheetView>
  </sheetViews>
  <sheetFormatPr defaultRowHeight="14.5" x14ac:dyDescent="0.35"/>
  <sheetData>
    <row r="1" spans="1:15" x14ac:dyDescent="0.35">
      <c r="A1" t="s">
        <v>319</v>
      </c>
    </row>
    <row r="2" spans="1:15" x14ac:dyDescent="0.35">
      <c r="A2" s="37" t="s">
        <v>304</v>
      </c>
      <c r="B2" s="50" t="s">
        <v>305</v>
      </c>
      <c r="C2" s="53"/>
      <c r="D2" s="51"/>
      <c r="E2" s="52"/>
      <c r="F2" s="37"/>
      <c r="H2" s="50" t="s">
        <v>306</v>
      </c>
      <c r="I2" s="51"/>
      <c r="J2" s="52"/>
      <c r="K2" s="37"/>
      <c r="M2" s="50" t="s">
        <v>307</v>
      </c>
      <c r="N2" s="51"/>
      <c r="O2" s="52"/>
    </row>
    <row r="3" spans="1:15" x14ac:dyDescent="0.35">
      <c r="A3" s="47" t="s">
        <v>308</v>
      </c>
      <c r="B3" s="38" t="s">
        <v>309</v>
      </c>
      <c r="C3" s="39" t="s">
        <v>310</v>
      </c>
      <c r="D3" s="39" t="s">
        <v>264</v>
      </c>
      <c r="E3" s="40" t="s">
        <v>311</v>
      </c>
      <c r="F3" s="37"/>
      <c r="G3" s="38" t="s">
        <v>309</v>
      </c>
      <c r="H3" s="39" t="s">
        <v>310</v>
      </c>
      <c r="I3" s="39" t="s">
        <v>264</v>
      </c>
      <c r="J3" s="40" t="s">
        <v>311</v>
      </c>
      <c r="K3" s="37"/>
      <c r="L3" s="38" t="s">
        <v>309</v>
      </c>
      <c r="M3" s="39" t="s">
        <v>310</v>
      </c>
      <c r="N3" s="39" t="s">
        <v>264</v>
      </c>
      <c r="O3" s="40" t="s">
        <v>311</v>
      </c>
    </row>
    <row r="4" spans="1:15" x14ac:dyDescent="0.35">
      <c r="A4" s="48" t="s">
        <v>312</v>
      </c>
      <c r="B4" s="41" t="s">
        <v>313</v>
      </c>
      <c r="C4" s="42" t="s">
        <v>314</v>
      </c>
      <c r="D4" s="42" t="s">
        <v>315</v>
      </c>
      <c r="E4" s="43" t="s">
        <v>269</v>
      </c>
      <c r="F4" s="37"/>
      <c r="G4" s="41" t="s">
        <v>313</v>
      </c>
      <c r="H4" s="42" t="s">
        <v>314</v>
      </c>
      <c r="I4" s="42" t="s">
        <v>315</v>
      </c>
      <c r="J4" s="43" t="s">
        <v>269</v>
      </c>
      <c r="K4" s="37"/>
      <c r="L4" s="41" t="s">
        <v>313</v>
      </c>
      <c r="M4" s="42" t="s">
        <v>314</v>
      </c>
      <c r="N4" s="42" t="s">
        <v>315</v>
      </c>
      <c r="O4" s="43" t="s">
        <v>269</v>
      </c>
    </row>
    <row r="5" spans="1:15" x14ac:dyDescent="0.35">
      <c r="A5" s="47">
        <v>20</v>
      </c>
      <c r="B5" s="44">
        <v>1000.4</v>
      </c>
      <c r="C5" s="45">
        <v>83.608999999999995</v>
      </c>
      <c r="D5" s="45">
        <v>88.606999999999999</v>
      </c>
      <c r="E5" s="46">
        <v>0.29543000000000003</v>
      </c>
      <c r="F5" s="37"/>
      <c r="G5" s="44">
        <v>1002.7</v>
      </c>
      <c r="H5" s="45">
        <v>83.308000000000007</v>
      </c>
      <c r="I5" s="45">
        <v>93.281000000000006</v>
      </c>
      <c r="J5" s="46">
        <v>0.29435</v>
      </c>
      <c r="K5" s="37"/>
      <c r="L5" s="44">
        <v>1004.9</v>
      </c>
      <c r="M5" s="45">
        <v>83.007000000000005</v>
      </c>
      <c r="N5" s="45">
        <v>97.933999999999997</v>
      </c>
      <c r="O5" s="46">
        <v>0.29322999999999999</v>
      </c>
    </row>
    <row r="6" spans="1:15" x14ac:dyDescent="0.35">
      <c r="A6" s="49">
        <v>40</v>
      </c>
      <c r="B6" s="44">
        <v>994.36</v>
      </c>
      <c r="C6" s="45">
        <v>166.92</v>
      </c>
      <c r="D6" s="45">
        <v>171.95</v>
      </c>
      <c r="E6" s="46">
        <v>0.57045999999999997</v>
      </c>
      <c r="F6" s="37"/>
      <c r="G6" s="44">
        <v>996.52</v>
      </c>
      <c r="H6" s="45">
        <v>166.33</v>
      </c>
      <c r="I6" s="45">
        <v>176.36</v>
      </c>
      <c r="J6" s="46">
        <v>0.56850999999999996</v>
      </c>
      <c r="K6" s="37"/>
      <c r="L6" s="44">
        <v>998.65</v>
      </c>
      <c r="M6" s="45">
        <v>165.75</v>
      </c>
      <c r="N6" s="45">
        <v>180.77</v>
      </c>
      <c r="O6" s="46">
        <v>0.56655999999999995</v>
      </c>
    </row>
    <row r="7" spans="1:15" x14ac:dyDescent="0.35">
      <c r="A7" s="49">
        <v>60</v>
      </c>
      <c r="B7" s="44">
        <v>985.33</v>
      </c>
      <c r="C7" s="45">
        <v>250.29</v>
      </c>
      <c r="D7" s="45">
        <v>255.36</v>
      </c>
      <c r="E7" s="46">
        <v>0.82865</v>
      </c>
      <c r="F7" s="37"/>
      <c r="G7" s="44">
        <v>987.48</v>
      </c>
      <c r="H7" s="45">
        <v>249.42</v>
      </c>
      <c r="I7" s="45">
        <v>259.55</v>
      </c>
      <c r="J7" s="46">
        <v>0.82601999999999998</v>
      </c>
      <c r="K7" s="37"/>
      <c r="L7" s="44">
        <v>989.6</v>
      </c>
      <c r="M7" s="45">
        <v>248.58</v>
      </c>
      <c r="N7" s="45">
        <v>263.74</v>
      </c>
      <c r="O7" s="46">
        <v>0.82340000000000002</v>
      </c>
    </row>
    <row r="8" spans="1:15" x14ac:dyDescent="0.35">
      <c r="A8" s="49">
        <v>80</v>
      </c>
      <c r="B8" s="44">
        <v>973.97</v>
      </c>
      <c r="C8" s="45">
        <v>333.82</v>
      </c>
      <c r="D8" s="45">
        <v>338.95</v>
      </c>
      <c r="E8" s="46">
        <v>1.0723</v>
      </c>
      <c r="F8" s="37"/>
      <c r="G8" s="44">
        <v>976.17</v>
      </c>
      <c r="H8" s="45">
        <v>332.69</v>
      </c>
      <c r="I8" s="45">
        <v>342.94</v>
      </c>
      <c r="J8" s="46">
        <v>1.0690999999999999</v>
      </c>
      <c r="K8" s="37"/>
      <c r="L8" s="44">
        <v>978.35</v>
      </c>
      <c r="M8" s="45">
        <v>331.59</v>
      </c>
      <c r="N8" s="45">
        <v>346.92</v>
      </c>
      <c r="O8" s="46">
        <v>1.0659000000000001</v>
      </c>
    </row>
    <row r="9" spans="1:15" x14ac:dyDescent="0.35">
      <c r="A9" s="49">
        <v>100</v>
      </c>
      <c r="B9" s="44">
        <v>960.63</v>
      </c>
      <c r="C9" s="45">
        <v>417.64</v>
      </c>
      <c r="D9" s="45">
        <v>422.85</v>
      </c>
      <c r="E9" s="46">
        <v>1.3033999999999999</v>
      </c>
      <c r="F9" s="37"/>
      <c r="G9" s="44">
        <v>962.93</v>
      </c>
      <c r="H9" s="45">
        <v>416.23</v>
      </c>
      <c r="I9" s="45">
        <v>426.62</v>
      </c>
      <c r="J9" s="46">
        <v>1.2996000000000001</v>
      </c>
      <c r="K9" s="37"/>
      <c r="L9" s="44">
        <v>965.2</v>
      </c>
      <c r="M9" s="45">
        <v>414.85</v>
      </c>
      <c r="N9" s="45">
        <v>430.39</v>
      </c>
      <c r="O9" s="46">
        <v>1.2958000000000001</v>
      </c>
    </row>
    <row r="10" spans="1:15" x14ac:dyDescent="0.35">
      <c r="A10" s="49">
        <v>120</v>
      </c>
      <c r="B10" s="44">
        <v>945.49</v>
      </c>
      <c r="C10" s="45">
        <v>501.9</v>
      </c>
      <c r="D10" s="45">
        <v>507.19</v>
      </c>
      <c r="E10" s="46">
        <v>1.5236000000000001</v>
      </c>
      <c r="F10" s="37"/>
      <c r="G10" s="44">
        <v>947.94</v>
      </c>
      <c r="H10" s="45">
        <v>500.18</v>
      </c>
      <c r="I10" s="45">
        <v>510.73</v>
      </c>
      <c r="J10" s="46">
        <v>1.5190999999999999</v>
      </c>
      <c r="K10" s="37"/>
      <c r="L10" s="44">
        <v>950.35</v>
      </c>
      <c r="M10" s="45">
        <v>498.49</v>
      </c>
      <c r="N10" s="45">
        <v>514.28</v>
      </c>
      <c r="O10" s="46">
        <v>1.5147999999999999</v>
      </c>
    </row>
    <row r="11" spans="1:15" x14ac:dyDescent="0.35">
      <c r="A11" s="49">
        <v>140</v>
      </c>
      <c r="B11" s="44">
        <v>928.63</v>
      </c>
      <c r="C11" s="45">
        <v>586.79</v>
      </c>
      <c r="D11" s="45">
        <v>592.17999999999995</v>
      </c>
      <c r="E11" s="46">
        <v>1.7343999999999999</v>
      </c>
      <c r="F11" s="37"/>
      <c r="G11" s="44">
        <v>931.28</v>
      </c>
      <c r="H11" s="45">
        <v>584.71</v>
      </c>
      <c r="I11" s="45">
        <v>595.45000000000005</v>
      </c>
      <c r="J11" s="46">
        <v>1.7293000000000001</v>
      </c>
      <c r="K11" s="37"/>
      <c r="L11" s="44">
        <v>933.87</v>
      </c>
      <c r="M11" s="45">
        <v>582.69000000000005</v>
      </c>
      <c r="N11" s="45">
        <v>598.75</v>
      </c>
      <c r="O11" s="46">
        <v>1.7242999999999999</v>
      </c>
    </row>
    <row r="12" spans="1:15" x14ac:dyDescent="0.35">
      <c r="A12" s="49">
        <v>160</v>
      </c>
      <c r="B12" s="44">
        <v>910.05</v>
      </c>
      <c r="C12" s="45">
        <v>672.55</v>
      </c>
      <c r="D12" s="45">
        <v>678.04</v>
      </c>
      <c r="E12" s="46">
        <v>1.9374</v>
      </c>
      <c r="F12" s="37"/>
      <c r="G12" s="44">
        <v>912.95</v>
      </c>
      <c r="H12" s="45">
        <v>670.06</v>
      </c>
      <c r="I12" s="45">
        <v>681.01</v>
      </c>
      <c r="J12" s="46">
        <v>1.9315</v>
      </c>
      <c r="K12" s="37"/>
      <c r="L12" s="44">
        <v>915.79</v>
      </c>
      <c r="M12" s="45">
        <v>667.63</v>
      </c>
      <c r="N12" s="45">
        <v>684.01</v>
      </c>
      <c r="O12" s="46">
        <v>1.9258999999999999</v>
      </c>
    </row>
    <row r="13" spans="1:15" x14ac:dyDescent="0.35">
      <c r="A13" s="49">
        <v>180</v>
      </c>
      <c r="B13" s="44">
        <v>889.65</v>
      </c>
      <c r="C13" s="45">
        <v>759.46</v>
      </c>
      <c r="D13" s="45">
        <v>765.08</v>
      </c>
      <c r="E13" s="46">
        <v>2.1337999999999999</v>
      </c>
      <c r="F13" s="37"/>
      <c r="G13" s="44">
        <v>892.88</v>
      </c>
      <c r="H13" s="45">
        <v>756.48</v>
      </c>
      <c r="I13" s="45">
        <v>767.68</v>
      </c>
      <c r="J13" s="46">
        <v>2.1271</v>
      </c>
      <c r="K13" s="37"/>
      <c r="L13" s="44">
        <v>896.04</v>
      </c>
      <c r="M13" s="45">
        <v>753.58</v>
      </c>
      <c r="N13" s="45">
        <v>770.32</v>
      </c>
      <c r="O13" s="46">
        <v>2.1206</v>
      </c>
    </row>
    <row r="14" spans="1:15" x14ac:dyDescent="0.35">
      <c r="A14" s="49">
        <v>200</v>
      </c>
      <c r="B14" s="44">
        <v>867.26</v>
      </c>
      <c r="C14" s="45">
        <v>847.91</v>
      </c>
      <c r="D14" s="45">
        <v>853.68</v>
      </c>
      <c r="E14" s="46">
        <v>2.3250999999999999</v>
      </c>
      <c r="F14" s="37"/>
      <c r="G14" s="44">
        <v>870.94</v>
      </c>
      <c r="H14" s="45">
        <v>844.31</v>
      </c>
      <c r="I14" s="45">
        <v>855.8</v>
      </c>
      <c r="J14" s="46">
        <v>2.3174000000000001</v>
      </c>
      <c r="K14" s="37"/>
      <c r="L14" s="44">
        <v>874.5</v>
      </c>
      <c r="M14" s="45">
        <v>840.84</v>
      </c>
      <c r="N14" s="45">
        <v>857.99</v>
      </c>
      <c r="O14" s="46">
        <v>2.31</v>
      </c>
    </row>
    <row r="15" spans="1:15" x14ac:dyDescent="0.35">
      <c r="A15" s="49">
        <v>220</v>
      </c>
      <c r="B15" s="44">
        <v>842.58</v>
      </c>
      <c r="C15" s="45">
        <v>938.39</v>
      </c>
      <c r="D15" s="45">
        <v>944.32</v>
      </c>
      <c r="E15" s="46">
        <v>2.5127000000000002</v>
      </c>
      <c r="F15" s="37"/>
      <c r="G15" s="44">
        <v>846.84</v>
      </c>
      <c r="H15" s="45">
        <v>934</v>
      </c>
      <c r="I15" s="45">
        <v>945.81</v>
      </c>
      <c r="J15" s="46">
        <v>2.5036999999999998</v>
      </c>
      <c r="K15" s="37"/>
      <c r="L15" s="44">
        <v>850.95</v>
      </c>
      <c r="M15" s="45">
        <v>929.8</v>
      </c>
      <c r="N15" s="45">
        <v>947.43</v>
      </c>
      <c r="O15" s="46">
        <v>2.4950999999999999</v>
      </c>
    </row>
    <row r="16" spans="1:15" x14ac:dyDescent="0.35">
      <c r="A16" s="49">
        <v>240</v>
      </c>
      <c r="B16" s="44">
        <v>815.1</v>
      </c>
      <c r="C16" s="45">
        <v>1031.5999999999999</v>
      </c>
      <c r="D16" s="45">
        <v>1037.7</v>
      </c>
      <c r="E16" s="46">
        <v>2.6983000000000001</v>
      </c>
      <c r="F16" s="37"/>
      <c r="G16" s="44">
        <v>820.18</v>
      </c>
      <c r="H16" s="45">
        <v>1026.0999999999999</v>
      </c>
      <c r="I16" s="45">
        <v>1038.3</v>
      </c>
      <c r="J16" s="46">
        <v>2.6876000000000002</v>
      </c>
      <c r="K16" s="37"/>
      <c r="L16" s="44">
        <v>825.03</v>
      </c>
      <c r="M16" s="45">
        <v>1021</v>
      </c>
      <c r="N16" s="45">
        <v>1039.2</v>
      </c>
      <c r="O16" s="46">
        <v>2.6774</v>
      </c>
    </row>
    <row r="17" spans="1:15" x14ac:dyDescent="0.35">
      <c r="A17" s="49">
        <v>260</v>
      </c>
      <c r="B17" s="44">
        <v>784.03</v>
      </c>
      <c r="C17" s="45">
        <v>1128.5</v>
      </c>
      <c r="D17" s="45">
        <v>1134.9000000000001</v>
      </c>
      <c r="E17" s="46">
        <v>2.8841000000000001</v>
      </c>
      <c r="F17" s="37"/>
      <c r="G17" s="44">
        <v>790.3</v>
      </c>
      <c r="H17" s="45">
        <v>1121.5999999999999</v>
      </c>
      <c r="I17" s="45">
        <v>1134.3</v>
      </c>
      <c r="J17" s="46">
        <v>2.871</v>
      </c>
      <c r="K17" s="37"/>
      <c r="L17" s="44">
        <v>796.2</v>
      </c>
      <c r="M17" s="45">
        <v>1115.0999999999999</v>
      </c>
      <c r="N17" s="45">
        <v>1134</v>
      </c>
      <c r="O17" s="46">
        <v>2.8586</v>
      </c>
    </row>
    <row r="19" spans="1:15" x14ac:dyDescent="0.35">
      <c r="A19" s="37" t="s">
        <v>304</v>
      </c>
      <c r="B19" s="50" t="s">
        <v>316</v>
      </c>
      <c r="C19" s="53"/>
      <c r="D19" s="51"/>
      <c r="E19" s="52"/>
      <c r="F19" s="37"/>
      <c r="H19" s="50" t="s">
        <v>317</v>
      </c>
      <c r="I19" s="51"/>
      <c r="J19" s="52"/>
      <c r="K19" s="37"/>
      <c r="M19" s="50" t="s">
        <v>318</v>
      </c>
      <c r="N19" s="51"/>
      <c r="O19" s="52"/>
    </row>
    <row r="20" spans="1:15" x14ac:dyDescent="0.35">
      <c r="A20" s="47" t="s">
        <v>308</v>
      </c>
      <c r="B20" s="38" t="s">
        <v>309</v>
      </c>
      <c r="C20" s="39" t="s">
        <v>310</v>
      </c>
      <c r="D20" s="39" t="s">
        <v>264</v>
      </c>
      <c r="E20" s="40" t="s">
        <v>311</v>
      </c>
      <c r="F20" s="37"/>
      <c r="G20" s="38" t="s">
        <v>309</v>
      </c>
      <c r="H20" s="39" t="s">
        <v>310</v>
      </c>
      <c r="I20" s="39" t="s">
        <v>264</v>
      </c>
      <c r="J20" s="40" t="s">
        <v>311</v>
      </c>
      <c r="K20" s="37"/>
      <c r="L20" s="38" t="s">
        <v>309</v>
      </c>
      <c r="M20" s="39" t="s">
        <v>310</v>
      </c>
      <c r="N20" s="39" t="s">
        <v>264</v>
      </c>
      <c r="O20" s="40" t="s">
        <v>311</v>
      </c>
    </row>
    <row r="21" spans="1:15" x14ac:dyDescent="0.35">
      <c r="A21" s="48" t="s">
        <v>312</v>
      </c>
      <c r="B21" s="41" t="s">
        <v>313</v>
      </c>
      <c r="C21" s="42" t="s">
        <v>314</v>
      </c>
      <c r="D21" s="42" t="s">
        <v>315</v>
      </c>
      <c r="E21" s="43" t="s">
        <v>269</v>
      </c>
      <c r="F21" s="37"/>
      <c r="G21" s="41" t="s">
        <v>313</v>
      </c>
      <c r="H21" s="42" t="s">
        <v>314</v>
      </c>
      <c r="I21" s="42" t="s">
        <v>315</v>
      </c>
      <c r="J21" s="43" t="s">
        <v>269</v>
      </c>
      <c r="K21" s="37"/>
      <c r="L21" s="41" t="s">
        <v>313</v>
      </c>
      <c r="M21" s="42" t="s">
        <v>314</v>
      </c>
      <c r="N21" s="42" t="s">
        <v>315</v>
      </c>
      <c r="O21" s="43" t="s">
        <v>269</v>
      </c>
    </row>
    <row r="22" spans="1:15" x14ac:dyDescent="0.35">
      <c r="A22" s="47">
        <v>20</v>
      </c>
      <c r="B22" s="44">
        <v>1007.1</v>
      </c>
      <c r="C22" s="45">
        <v>82.707999999999998</v>
      </c>
      <c r="D22" s="45">
        <v>102.57</v>
      </c>
      <c r="E22" s="46">
        <v>0.29207</v>
      </c>
      <c r="F22" s="37"/>
      <c r="G22" s="44">
        <v>1009.3</v>
      </c>
      <c r="H22" s="45">
        <v>82.409000000000006</v>
      </c>
      <c r="I22" s="45">
        <v>107.18</v>
      </c>
      <c r="J22" s="46">
        <v>0.29088999999999998</v>
      </c>
      <c r="K22" s="37"/>
      <c r="L22" s="44">
        <v>1011.5</v>
      </c>
      <c r="M22" s="45">
        <v>82.111999999999995</v>
      </c>
      <c r="N22" s="45">
        <v>111.77</v>
      </c>
      <c r="O22" s="46">
        <v>0.28967999999999999</v>
      </c>
    </row>
    <row r="23" spans="1:15" x14ac:dyDescent="0.35">
      <c r="A23" s="49">
        <v>40</v>
      </c>
      <c r="B23" s="44">
        <v>1000.8</v>
      </c>
      <c r="C23" s="45">
        <v>165.17</v>
      </c>
      <c r="D23" s="45">
        <v>185.16</v>
      </c>
      <c r="E23" s="46">
        <v>0.56460999999999995</v>
      </c>
      <c r="F23" s="37"/>
      <c r="G23" s="44">
        <v>1002.9</v>
      </c>
      <c r="H23" s="45">
        <v>164.61</v>
      </c>
      <c r="I23" s="45">
        <v>189.53</v>
      </c>
      <c r="J23" s="46">
        <v>0.56264999999999998</v>
      </c>
      <c r="K23" s="37"/>
      <c r="L23" s="44">
        <v>1004.9</v>
      </c>
      <c r="M23" s="45">
        <v>164.05</v>
      </c>
      <c r="N23" s="45">
        <v>193.9</v>
      </c>
      <c r="O23" s="46">
        <v>0.56069000000000002</v>
      </c>
    </row>
    <row r="24" spans="1:15" x14ac:dyDescent="0.35">
      <c r="A24" s="49">
        <v>60</v>
      </c>
      <c r="B24" s="44">
        <v>991.71</v>
      </c>
      <c r="C24" s="45">
        <v>247.75</v>
      </c>
      <c r="D24" s="45">
        <v>267.92</v>
      </c>
      <c r="E24" s="46">
        <v>0.82079999999999997</v>
      </c>
      <c r="F24" s="37"/>
      <c r="G24" s="44">
        <v>993.79</v>
      </c>
      <c r="H24" s="45">
        <v>246.94</v>
      </c>
      <c r="I24" s="45">
        <v>272.08999999999997</v>
      </c>
      <c r="J24" s="46">
        <v>0.81820999999999999</v>
      </c>
      <c r="K24" s="37"/>
      <c r="L24" s="44">
        <v>995.84</v>
      </c>
      <c r="M24" s="45">
        <v>246.14</v>
      </c>
      <c r="N24" s="45">
        <v>276.26</v>
      </c>
      <c r="O24" s="46">
        <v>0.81564000000000003</v>
      </c>
    </row>
    <row r="25" spans="1:15" x14ac:dyDescent="0.35">
      <c r="A25" s="49">
        <v>80</v>
      </c>
      <c r="B25" s="44">
        <v>980.49</v>
      </c>
      <c r="C25" s="45">
        <v>330.5</v>
      </c>
      <c r="D25" s="45">
        <v>350.9</v>
      </c>
      <c r="E25" s="46">
        <v>1.0627</v>
      </c>
      <c r="F25" s="37"/>
      <c r="G25" s="44">
        <v>982.61</v>
      </c>
      <c r="H25" s="45">
        <v>329.44</v>
      </c>
      <c r="I25" s="45">
        <v>354.88</v>
      </c>
      <c r="J25" s="46">
        <v>1.0595000000000001</v>
      </c>
      <c r="K25" s="37"/>
      <c r="L25" s="44">
        <v>984.71</v>
      </c>
      <c r="M25" s="45">
        <v>328.4</v>
      </c>
      <c r="N25" s="45">
        <v>358.86</v>
      </c>
      <c r="O25" s="46">
        <v>1.0564</v>
      </c>
    </row>
    <row r="26" spans="1:15" x14ac:dyDescent="0.35">
      <c r="A26" s="49">
        <v>100</v>
      </c>
      <c r="B26" s="44">
        <v>967.44</v>
      </c>
      <c r="C26" s="45">
        <v>413.5</v>
      </c>
      <c r="D26" s="45">
        <v>434.17</v>
      </c>
      <c r="E26" s="46">
        <v>1.292</v>
      </c>
      <c r="F26" s="37"/>
      <c r="G26" s="44">
        <v>969.65</v>
      </c>
      <c r="H26" s="45">
        <v>412.17</v>
      </c>
      <c r="I26" s="45">
        <v>437.95</v>
      </c>
      <c r="J26" s="46">
        <v>1.2883</v>
      </c>
      <c r="K26" s="37"/>
      <c r="L26" s="44">
        <v>971.82</v>
      </c>
      <c r="M26" s="45">
        <v>410.87</v>
      </c>
      <c r="N26" s="45">
        <v>441.74</v>
      </c>
      <c r="O26" s="46">
        <v>1.2847</v>
      </c>
    </row>
    <row r="27" spans="1:15" x14ac:dyDescent="0.35">
      <c r="A27" s="49">
        <v>120</v>
      </c>
      <c r="B27" s="44">
        <v>952.72</v>
      </c>
      <c r="C27" s="45">
        <v>496.85</v>
      </c>
      <c r="D27" s="45">
        <v>517.84</v>
      </c>
      <c r="E27" s="46">
        <v>1.5105</v>
      </c>
      <c r="F27" s="37"/>
      <c r="G27" s="44">
        <v>955.05</v>
      </c>
      <c r="H27" s="45">
        <v>495.24</v>
      </c>
      <c r="I27" s="45">
        <v>521.41</v>
      </c>
      <c r="J27" s="46">
        <v>1.5062</v>
      </c>
      <c r="K27" s="37"/>
      <c r="L27" s="44">
        <v>957.35</v>
      </c>
      <c r="M27" s="45">
        <v>493.66</v>
      </c>
      <c r="N27" s="45">
        <v>525</v>
      </c>
      <c r="O27" s="46">
        <v>1.502</v>
      </c>
    </row>
    <row r="28" spans="1:15" x14ac:dyDescent="0.35">
      <c r="A28" s="49">
        <v>140</v>
      </c>
      <c r="B28" s="44">
        <v>936.42</v>
      </c>
      <c r="C28" s="45">
        <v>580.71</v>
      </c>
      <c r="D28" s="45">
        <v>602.07000000000005</v>
      </c>
      <c r="E28" s="46">
        <v>1.7194</v>
      </c>
      <c r="F28" s="37"/>
      <c r="G28" s="44">
        <v>938.93</v>
      </c>
      <c r="H28" s="45">
        <v>578.78</v>
      </c>
      <c r="I28" s="45">
        <v>605.41</v>
      </c>
      <c r="J28" s="46">
        <v>1.7145999999999999</v>
      </c>
      <c r="K28" s="37"/>
      <c r="L28" s="44">
        <v>941.39</v>
      </c>
      <c r="M28" s="45">
        <v>576.89</v>
      </c>
      <c r="N28" s="45">
        <v>608.76</v>
      </c>
      <c r="O28" s="46">
        <v>1.7098</v>
      </c>
    </row>
    <row r="29" spans="1:15" x14ac:dyDescent="0.35">
      <c r="A29" s="49">
        <v>160</v>
      </c>
      <c r="B29" s="44">
        <v>918.57</v>
      </c>
      <c r="C29" s="45">
        <v>665.27</v>
      </c>
      <c r="D29" s="45">
        <v>687.05</v>
      </c>
      <c r="E29" s="46">
        <v>1.9202999999999999</v>
      </c>
      <c r="F29" s="37"/>
      <c r="G29" s="44">
        <v>921.3</v>
      </c>
      <c r="H29" s="45">
        <v>662.98</v>
      </c>
      <c r="I29" s="45">
        <v>690.11</v>
      </c>
      <c r="J29" s="46">
        <v>1.9148000000000001</v>
      </c>
      <c r="K29" s="37"/>
      <c r="L29" s="44">
        <v>923.97</v>
      </c>
      <c r="M29" s="45">
        <v>660.74</v>
      </c>
      <c r="N29" s="45">
        <v>693.21</v>
      </c>
      <c r="O29" s="46">
        <v>1.9094</v>
      </c>
    </row>
    <row r="30" spans="1:15" x14ac:dyDescent="0.35">
      <c r="A30" s="49">
        <v>180</v>
      </c>
      <c r="B30" s="44">
        <v>899.12</v>
      </c>
      <c r="C30" s="45">
        <v>750.77</v>
      </c>
      <c r="D30" s="45">
        <v>773.02</v>
      </c>
      <c r="E30" s="46">
        <v>2.1143000000000001</v>
      </c>
      <c r="F30" s="37"/>
      <c r="G30" s="44">
        <v>902.13</v>
      </c>
      <c r="H30" s="45">
        <v>748.05</v>
      </c>
      <c r="I30" s="45">
        <v>775.76</v>
      </c>
      <c r="J30" s="46">
        <v>2.1080999999999999</v>
      </c>
      <c r="K30" s="37"/>
      <c r="L30" s="44">
        <v>905.07</v>
      </c>
      <c r="M30" s="45">
        <v>745.4</v>
      </c>
      <c r="N30" s="45">
        <v>778.54</v>
      </c>
      <c r="O30" s="46">
        <v>2.1019999999999999</v>
      </c>
    </row>
    <row r="31" spans="1:15" x14ac:dyDescent="0.35">
      <c r="A31" s="49">
        <v>200</v>
      </c>
      <c r="B31" s="44">
        <v>877.97</v>
      </c>
      <c r="C31" s="45">
        <v>837.49</v>
      </c>
      <c r="D31" s="45">
        <v>860.27</v>
      </c>
      <c r="E31" s="46">
        <v>2.3027000000000002</v>
      </c>
      <c r="F31" s="37"/>
      <c r="G31" s="44">
        <v>881.33</v>
      </c>
      <c r="H31" s="45">
        <v>834.24</v>
      </c>
      <c r="I31" s="45">
        <v>862.61</v>
      </c>
      <c r="J31" s="46">
        <v>2.2955999999999999</v>
      </c>
      <c r="K31" s="37"/>
      <c r="L31" s="44">
        <v>884.62</v>
      </c>
      <c r="M31" s="45">
        <v>831.1</v>
      </c>
      <c r="N31" s="45">
        <v>865.02</v>
      </c>
      <c r="O31" s="46">
        <v>2.2888000000000002</v>
      </c>
    </row>
    <row r="32" spans="1:15" x14ac:dyDescent="0.35">
      <c r="A32" s="49">
        <v>220</v>
      </c>
      <c r="B32" s="44">
        <v>854.91</v>
      </c>
      <c r="C32" s="45">
        <v>925.77</v>
      </c>
      <c r="D32" s="45">
        <v>949.16</v>
      </c>
      <c r="E32" s="46">
        <v>2.4866999999999999</v>
      </c>
      <c r="F32" s="37"/>
      <c r="G32" s="44">
        <v>858.75</v>
      </c>
      <c r="H32" s="45">
        <v>921.88</v>
      </c>
      <c r="I32" s="45">
        <v>951</v>
      </c>
      <c r="J32" s="46">
        <v>2.4786000000000001</v>
      </c>
      <c r="K32" s="37"/>
      <c r="L32" s="44">
        <v>862.46</v>
      </c>
      <c r="M32" s="45">
        <v>918.14</v>
      </c>
      <c r="N32" s="45">
        <v>952.93</v>
      </c>
      <c r="O32" s="46">
        <v>2.4706999999999999</v>
      </c>
    </row>
    <row r="33" spans="1:15" x14ac:dyDescent="0.35">
      <c r="A33" s="49">
        <v>240</v>
      </c>
      <c r="B33" s="44">
        <v>829.67</v>
      </c>
      <c r="C33" s="45">
        <v>1016.1</v>
      </c>
      <c r="D33" s="45">
        <v>1040.2</v>
      </c>
      <c r="E33" s="46">
        <v>2.6676000000000002</v>
      </c>
      <c r="F33" s="37"/>
      <c r="G33" s="44">
        <v>834.12</v>
      </c>
      <c r="H33" s="45">
        <v>1011.4</v>
      </c>
      <c r="I33" s="45">
        <v>1041.3</v>
      </c>
      <c r="J33" s="46">
        <v>2.6581999999999999</v>
      </c>
      <c r="K33" s="37"/>
      <c r="L33" s="44">
        <v>838.4</v>
      </c>
      <c r="M33" s="45">
        <v>1006.9</v>
      </c>
      <c r="N33" s="45">
        <v>1042.7</v>
      </c>
      <c r="O33" s="46">
        <v>2.6490999999999998</v>
      </c>
    </row>
    <row r="34" spans="1:15" x14ac:dyDescent="0.35">
      <c r="A34" s="49">
        <v>260</v>
      </c>
      <c r="B34" s="44">
        <v>801.78</v>
      </c>
      <c r="C34" s="45">
        <v>1109</v>
      </c>
      <c r="D34" s="45">
        <v>1134</v>
      </c>
      <c r="E34" s="46">
        <v>2.8469000000000002</v>
      </c>
      <c r="F34" s="37"/>
      <c r="G34" s="44">
        <v>807.06</v>
      </c>
      <c r="H34" s="45">
        <v>1103.2</v>
      </c>
      <c r="I34" s="45">
        <v>1134.2</v>
      </c>
      <c r="J34" s="46">
        <v>2.8357000000000001</v>
      </c>
      <c r="K34" s="37"/>
      <c r="L34" s="44">
        <v>812.1</v>
      </c>
      <c r="M34" s="45">
        <v>1097.8</v>
      </c>
      <c r="N34" s="45">
        <v>1134.7</v>
      </c>
      <c r="O34" s="46">
        <v>2.8250000000000002</v>
      </c>
    </row>
    <row r="35" spans="1:15" x14ac:dyDescent="0.35">
      <c r="A35" s="49">
        <v>280</v>
      </c>
      <c r="B35" s="44">
        <v>770.52</v>
      </c>
      <c r="C35" s="45">
        <v>1205.5</v>
      </c>
      <c r="D35" s="45">
        <v>1231.5</v>
      </c>
      <c r="E35" s="46">
        <v>3.0265</v>
      </c>
      <c r="F35" s="37"/>
      <c r="G35" s="44">
        <v>777.01</v>
      </c>
      <c r="H35" s="45">
        <v>1198.3</v>
      </c>
      <c r="I35" s="45">
        <v>1230.5</v>
      </c>
      <c r="J35" s="46">
        <v>3.0129000000000001</v>
      </c>
      <c r="K35" s="37"/>
      <c r="L35" s="44">
        <v>783.1</v>
      </c>
      <c r="M35" s="45">
        <v>1191.5</v>
      </c>
      <c r="N35" s="45">
        <v>1229.8</v>
      </c>
      <c r="O35" s="46">
        <v>3.0001000000000002</v>
      </c>
    </row>
    <row r="36" spans="1:15" x14ac:dyDescent="0.35">
      <c r="A36" s="49">
        <v>300</v>
      </c>
      <c r="B36" s="44">
        <v>734.71</v>
      </c>
      <c r="C36" s="45">
        <v>1307.0999999999999</v>
      </c>
      <c r="D36" s="45">
        <v>1334.4</v>
      </c>
      <c r="E36" s="46">
        <v>3.2090999999999998</v>
      </c>
      <c r="F36" s="37"/>
      <c r="G36" s="44">
        <v>743.02</v>
      </c>
      <c r="H36" s="45">
        <v>1297.5999999999999</v>
      </c>
      <c r="I36" s="45">
        <v>1331.3</v>
      </c>
      <c r="J36" s="46">
        <v>3.1919</v>
      </c>
      <c r="K36" s="37"/>
      <c r="L36" s="44">
        <v>750.66</v>
      </c>
      <c r="M36" s="45">
        <v>1288.9000000000001</v>
      </c>
      <c r="N36" s="45">
        <v>1328.9</v>
      </c>
      <c r="O36" s="46">
        <v>3.1760000000000002</v>
      </c>
    </row>
    <row r="37" spans="1:15" x14ac:dyDescent="0.35">
      <c r="A37" s="49">
        <v>320</v>
      </c>
      <c r="B37" s="44">
        <v>692.06</v>
      </c>
      <c r="C37" s="45">
        <v>1416.6</v>
      </c>
      <c r="D37" s="45">
        <v>1445.5</v>
      </c>
      <c r="E37" s="46">
        <v>3.3996</v>
      </c>
      <c r="F37" s="37"/>
      <c r="G37" s="44">
        <v>703.49</v>
      </c>
      <c r="H37" s="45">
        <v>1403.4</v>
      </c>
      <c r="I37" s="45">
        <v>1438.9</v>
      </c>
      <c r="J37" s="46">
        <v>3.3763999999999998</v>
      </c>
      <c r="K37" s="37"/>
      <c r="L37" s="44">
        <v>713.58</v>
      </c>
      <c r="M37" s="45">
        <v>1391.6</v>
      </c>
      <c r="N37" s="45">
        <v>1433.7</v>
      </c>
      <c r="O37" s="46">
        <v>3.3557000000000001</v>
      </c>
    </row>
    <row r="38" spans="1:15" x14ac:dyDescent="0.35">
      <c r="A38" s="49">
        <v>340</v>
      </c>
      <c r="B38" s="44">
        <v>637.23</v>
      </c>
      <c r="C38" s="45">
        <v>1540.2</v>
      </c>
      <c r="D38" s="45">
        <v>1571.6</v>
      </c>
      <c r="E38" s="46">
        <v>3.6086</v>
      </c>
      <c r="F38" s="37"/>
      <c r="G38" s="44">
        <v>655.13</v>
      </c>
      <c r="H38" s="45">
        <v>1519.4</v>
      </c>
      <c r="I38" s="45">
        <v>1557.5</v>
      </c>
      <c r="J38" s="46">
        <v>3.5731000000000002</v>
      </c>
      <c r="K38" s="37"/>
      <c r="L38" s="44">
        <v>669.7</v>
      </c>
      <c r="M38" s="45">
        <v>1502.3</v>
      </c>
      <c r="N38" s="45">
        <v>1547.1</v>
      </c>
      <c r="O38" s="46">
        <v>3.5438000000000001</v>
      </c>
    </row>
    <row r="39" spans="1:15" x14ac:dyDescent="0.35">
      <c r="A39" s="49">
        <v>360</v>
      </c>
      <c r="B39" s="44">
        <v>548.01</v>
      </c>
      <c r="C39" s="45">
        <v>1703.6</v>
      </c>
      <c r="D39" s="45">
        <v>1740.1</v>
      </c>
      <c r="E39" s="46">
        <v>3.8786999999999998</v>
      </c>
      <c r="F39" s="37"/>
      <c r="G39" s="44">
        <v>589.30999999999995</v>
      </c>
      <c r="H39" s="45">
        <v>1656.2</v>
      </c>
      <c r="I39" s="45">
        <v>1698.6</v>
      </c>
      <c r="J39" s="46">
        <v>3.7993000000000001</v>
      </c>
      <c r="K39" s="37"/>
      <c r="L39" s="44">
        <v>614.39</v>
      </c>
      <c r="M39" s="45">
        <v>1626.7</v>
      </c>
      <c r="N39" s="45">
        <v>1675.6</v>
      </c>
      <c r="O39" s="46">
        <v>3.7498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EBBCBA-9E54-4641-8F8B-570F76ECB8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Pressão de vapor</vt:lpstr>
      <vt:lpstr>Entalpia</vt:lpstr>
      <vt:lpstr>Temp. steam table</vt:lpstr>
      <vt:lpstr>Pres. steam table</vt:lpstr>
      <vt:lpstr>Superheated steam</vt:lpstr>
      <vt:lpstr>Subcooled 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Rattes</dc:creator>
  <cp:lastModifiedBy>Rafael Rattes</cp:lastModifiedBy>
  <dcterms:created xsi:type="dcterms:W3CDTF">2021-05-16T15:07:38Z</dcterms:created>
  <dcterms:modified xsi:type="dcterms:W3CDTF">2021-07-16T20:17:28Z</dcterms:modified>
</cp:coreProperties>
</file>